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timelines/timeline2.xml" ContentType="application/vnd.ms-excel.timelin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8_{28AB3B65-C3DD-40DC-8E45-3E060A255A48}" xr6:coauthVersionLast="47" xr6:coauthVersionMax="47" xr10:uidLastSave="{00000000-0000-0000-0000-000000000000}"/>
  <bookViews>
    <workbookView xWindow="-108" yWindow="-108" windowWidth="23256" windowHeight="12456" firstSheet="5" activeTab="5" xr2:uid="{489579D3-E44A-4EB4-AA91-4A7E5B3A192F}"/>
  </bookViews>
  <sheets>
    <sheet name="raw data" sheetId="1" r:id="rId1"/>
    <sheet name="Sheet10" sheetId="10" r:id="rId2"/>
    <sheet name="Analysis" sheetId="3" r:id="rId3"/>
    <sheet name="Customer analysis" sheetId="4" r:id="rId4"/>
    <sheet name="pivot table" sheetId="16" r:id="rId5"/>
    <sheet name="What-if analysis" sheetId="5" r:id="rId6"/>
    <sheet name="Regression" sheetId="7" r:id="rId7"/>
    <sheet name="list compare" sheetId="6" r:id="rId8"/>
    <sheet name="Visualization" sheetId="9" r:id="rId9"/>
    <sheet name="Dashboard" sheetId="15" r:id="rId10"/>
    <sheet name="Storytelling" sheetId="18" r:id="rId11"/>
    <sheet name="Sheet8" sheetId="8" state="hidden" r:id="rId12"/>
  </sheets>
  <externalReferences>
    <externalReference r:id="rId13"/>
    <externalReference r:id="rId14"/>
  </externalReferences>
  <definedNames>
    <definedName name="NativeTimeline_Date">#N/A</definedName>
  </definedNames>
  <calcPr calcId="191029"/>
  <pivotCaches>
    <pivotCache cacheId="11" r:id="rId1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5" l="1" a="1"/>
  <c r="M4" i="15" s="1"/>
  <c r="J4" i="15"/>
  <c r="G4" i="15"/>
  <c r="D4" i="15"/>
  <c r="A4" i="15"/>
  <c r="P14" i="6"/>
  <c r="O14" i="6"/>
  <c r="N14" i="6"/>
  <c r="M14" i="6"/>
  <c r="P13" i="6"/>
  <c r="O13" i="6"/>
  <c r="N13" i="6"/>
  <c r="M13" i="6"/>
  <c r="P12" i="6"/>
  <c r="O12" i="6"/>
  <c r="N12" i="6"/>
  <c r="M12" i="6"/>
  <c r="P11" i="6"/>
  <c r="O11" i="6"/>
  <c r="N11" i="6"/>
  <c r="M11" i="6"/>
  <c r="P10" i="6"/>
  <c r="O10" i="6"/>
  <c r="N10" i="6"/>
  <c r="M10" i="6"/>
  <c r="P9" i="6"/>
  <c r="O9" i="6"/>
  <c r="N9" i="6"/>
  <c r="M9" i="6"/>
  <c r="P8" i="6"/>
  <c r="O8" i="6"/>
  <c r="N8" i="6"/>
  <c r="M8" i="6"/>
  <c r="P7" i="6"/>
  <c r="O7" i="6"/>
  <c r="N7" i="6"/>
  <c r="M7" i="6"/>
  <c r="P6" i="6"/>
  <c r="O6" i="6"/>
  <c r="N6" i="6"/>
  <c r="M6" i="6"/>
  <c r="P5" i="6"/>
  <c r="O5" i="6"/>
  <c r="N5" i="6"/>
  <c r="M5" i="6"/>
  <c r="G5" i="6"/>
  <c r="D5" i="5" l="1"/>
  <c r="E5" i="5"/>
  <c r="D6" i="5"/>
  <c r="E6" i="5"/>
  <c r="D7" i="5"/>
  <c r="E7" i="5"/>
  <c r="D8" i="5"/>
  <c r="E8" i="5"/>
  <c r="D9" i="5"/>
  <c r="E9" i="5"/>
  <c r="D10" i="5"/>
  <c r="E10" i="5"/>
  <c r="F4" i="4"/>
  <c r="G4" i="4"/>
  <c r="H4" i="4"/>
  <c r="K4" i="4"/>
  <c r="M4" i="4"/>
  <c r="L4" i="4" s="1"/>
  <c r="F5" i="4"/>
  <c r="G5" i="4"/>
  <c r="H5" i="4"/>
  <c r="M5" i="4"/>
  <c r="K5" i="4" s="1"/>
  <c r="F6" i="4"/>
  <c r="G6" i="4"/>
  <c r="H6" i="4"/>
  <c r="K6" i="4"/>
  <c r="M6" i="4"/>
  <c r="L6" i="4" s="1"/>
  <c r="F7" i="4"/>
  <c r="G7" i="4"/>
  <c r="H7" i="4"/>
  <c r="M7" i="4"/>
  <c r="K7" i="4" s="1"/>
  <c r="F8" i="4"/>
  <c r="G8" i="4"/>
  <c r="H8" i="4"/>
  <c r="K8" i="4"/>
  <c r="M8" i="4"/>
  <c r="L8" i="4" s="1"/>
  <c r="F9" i="4"/>
  <c r="G9" i="4"/>
  <c r="H9" i="4"/>
  <c r="M9" i="4"/>
  <c r="L9" i="4" s="1"/>
  <c r="F10" i="4"/>
  <c r="G10" i="4"/>
  <c r="H10" i="4"/>
  <c r="K10" i="4"/>
  <c r="M10" i="4"/>
  <c r="L10" i="4" s="1"/>
  <c r="F11" i="4"/>
  <c r="G11" i="4"/>
  <c r="H11" i="4"/>
  <c r="M11" i="4"/>
  <c r="K11" i="4" s="1"/>
  <c r="F12" i="4"/>
  <c r="G12" i="4"/>
  <c r="H12" i="4"/>
  <c r="K12" i="4"/>
  <c r="M12" i="4"/>
  <c r="L12" i="4" s="1"/>
  <c r="F13" i="4"/>
  <c r="G13" i="4"/>
  <c r="H13" i="4"/>
  <c r="M13" i="4"/>
  <c r="L13" i="4" s="1"/>
  <c r="F14" i="4"/>
  <c r="G14" i="4"/>
  <c r="H14" i="4"/>
  <c r="F15" i="4"/>
  <c r="G15" i="4" s="1"/>
  <c r="H15" i="4"/>
  <c r="F16" i="4"/>
  <c r="G16" i="4"/>
  <c r="H16" i="4"/>
  <c r="F17" i="4"/>
  <c r="G17" i="4"/>
  <c r="H17" i="4"/>
  <c r="F18" i="4"/>
  <c r="G18" i="4"/>
  <c r="H18" i="4"/>
  <c r="L18" i="4"/>
  <c r="F19" i="4"/>
  <c r="G19" i="4"/>
  <c r="H19" i="4"/>
  <c r="L19" i="4"/>
  <c r="F20" i="4"/>
  <c r="G20" i="4"/>
  <c r="H20" i="4"/>
  <c r="L20" i="4"/>
  <c r="F21" i="4"/>
  <c r="G21" i="4"/>
  <c r="H21" i="4"/>
  <c r="L21" i="4"/>
  <c r="F22" i="4"/>
  <c r="G22" i="4"/>
  <c r="H22" i="4"/>
  <c r="L22" i="4"/>
  <c r="F23" i="4"/>
  <c r="G23" i="4"/>
  <c r="H23" i="4"/>
  <c r="L23" i="4"/>
  <c r="F24" i="4"/>
  <c r="G24" i="4"/>
  <c r="H24" i="4"/>
  <c r="L24" i="4"/>
  <c r="F25" i="4"/>
  <c r="G25" i="4"/>
  <c r="H25" i="4"/>
  <c r="L25" i="4"/>
  <c r="F26" i="4"/>
  <c r="G26" i="4"/>
  <c r="H26" i="4"/>
  <c r="L26" i="4"/>
  <c r="F27" i="4"/>
  <c r="G27" i="4"/>
  <c r="H27" i="4"/>
  <c r="L27" i="4"/>
  <c r="F28" i="4"/>
  <c r="G28" i="4"/>
  <c r="H28" i="4"/>
  <c r="L28" i="4"/>
  <c r="F29" i="4"/>
  <c r="G29" i="4"/>
  <c r="H29" i="4"/>
  <c r="L29" i="4"/>
  <c r="F30" i="4"/>
  <c r="G30" i="4"/>
  <c r="H30" i="4"/>
  <c r="L30" i="4"/>
  <c r="F31" i="4"/>
  <c r="G31" i="4"/>
  <c r="H31" i="4"/>
  <c r="L31" i="4"/>
  <c r="F32" i="4"/>
  <c r="G32" i="4"/>
  <c r="H32" i="4"/>
  <c r="L32" i="4"/>
  <c r="F33" i="4"/>
  <c r="G33" i="4"/>
  <c r="H33" i="4"/>
  <c r="L33" i="4"/>
  <c r="F34" i="4"/>
  <c r="G34" i="4"/>
  <c r="H34" i="4"/>
  <c r="L34" i="4"/>
  <c r="F35" i="4"/>
  <c r="G35" i="4"/>
  <c r="H35" i="4"/>
  <c r="L35" i="4"/>
  <c r="F36" i="4"/>
  <c r="G36" i="4"/>
  <c r="H36" i="4"/>
  <c r="L36" i="4"/>
  <c r="F37" i="4"/>
  <c r="G37" i="4"/>
  <c r="H37" i="4"/>
  <c r="L37" i="4"/>
  <c r="F38" i="4"/>
  <c r="G38" i="4"/>
  <c r="H38" i="4"/>
  <c r="F39" i="4"/>
  <c r="G39" i="4" s="1"/>
  <c r="H39" i="4"/>
  <c r="F40" i="4"/>
  <c r="G40" i="4"/>
  <c r="H40" i="4"/>
  <c r="F41" i="4"/>
  <c r="G41" i="4" s="1"/>
  <c r="H41" i="4"/>
  <c r="F42" i="4"/>
  <c r="G42" i="4"/>
  <c r="H42" i="4"/>
  <c r="F43" i="4"/>
  <c r="G43" i="4" s="1"/>
  <c r="H43" i="4"/>
  <c r="F44" i="4"/>
  <c r="G44" i="4"/>
  <c r="H44" i="4"/>
  <c r="F45" i="4"/>
  <c r="G45" i="4" s="1"/>
  <c r="H45" i="4"/>
  <c r="F46" i="4"/>
  <c r="G46" i="4"/>
  <c r="H46" i="4"/>
  <c r="F47" i="4"/>
  <c r="G47" i="4" s="1"/>
  <c r="H47" i="4"/>
  <c r="F48" i="4"/>
  <c r="G48" i="4"/>
  <c r="H48" i="4"/>
  <c r="F49" i="4"/>
  <c r="G49" i="4" s="1"/>
  <c r="H49" i="4"/>
  <c r="F50" i="4"/>
  <c r="G50" i="4"/>
  <c r="H50" i="4"/>
  <c r="F51" i="4"/>
  <c r="G51" i="4" s="1"/>
  <c r="H51" i="4"/>
  <c r="F52" i="4"/>
  <c r="G52" i="4"/>
  <c r="H52" i="4"/>
  <c r="F53" i="4"/>
  <c r="G53" i="4" s="1"/>
  <c r="H53" i="4"/>
  <c r="O2" i="3"/>
  <c r="P2" i="3"/>
  <c r="Q2" i="3"/>
  <c r="R2" i="3"/>
  <c r="S2" i="3"/>
  <c r="O3" i="3"/>
  <c r="P3" i="3"/>
  <c r="Q3" i="3"/>
  <c r="R3" i="3"/>
  <c r="S3" i="3"/>
  <c r="O4" i="3"/>
  <c r="P4" i="3"/>
  <c r="Q4" i="3"/>
  <c r="R4" i="3"/>
  <c r="S4" i="3"/>
  <c r="O5" i="3"/>
  <c r="P5" i="3"/>
  <c r="Q5" i="3"/>
  <c r="R5" i="3"/>
  <c r="S5" i="3"/>
  <c r="O6" i="3"/>
  <c r="P6" i="3"/>
  <c r="Q6" i="3"/>
  <c r="R6" i="3"/>
  <c r="S6" i="3"/>
  <c r="O7" i="3"/>
  <c r="P7" i="3"/>
  <c r="Q7" i="3"/>
  <c r="R7" i="3"/>
  <c r="S7" i="3"/>
  <c r="O8" i="3"/>
  <c r="P8" i="3"/>
  <c r="Q8" i="3"/>
  <c r="R8" i="3"/>
  <c r="S8" i="3"/>
  <c r="O9" i="3"/>
  <c r="P9" i="3"/>
  <c r="Q9" i="3"/>
  <c r="R9" i="3"/>
  <c r="S9" i="3"/>
  <c r="O10" i="3"/>
  <c r="P10" i="3"/>
  <c r="Q10" i="3"/>
  <c r="R10" i="3"/>
  <c r="S10" i="3"/>
  <c r="O11" i="3"/>
  <c r="P11" i="3"/>
  <c r="Q11" i="3"/>
  <c r="R11" i="3"/>
  <c r="S11" i="3"/>
  <c r="O12" i="3"/>
  <c r="P12" i="3"/>
  <c r="Q12" i="3"/>
  <c r="R12" i="3"/>
  <c r="S12" i="3"/>
  <c r="O13" i="3"/>
  <c r="P13" i="3"/>
  <c r="Q13" i="3"/>
  <c r="R13" i="3"/>
  <c r="S13" i="3"/>
  <c r="O14" i="3"/>
  <c r="P14" i="3"/>
  <c r="Q14" i="3"/>
  <c r="R14" i="3"/>
  <c r="S14" i="3"/>
  <c r="O15" i="3"/>
  <c r="P15" i="3"/>
  <c r="Q15" i="3"/>
  <c r="R15" i="3"/>
  <c r="S15" i="3"/>
  <c r="O16" i="3"/>
  <c r="P16" i="3"/>
  <c r="Q16" i="3"/>
  <c r="R16" i="3"/>
  <c r="S16" i="3"/>
  <c r="O17" i="3"/>
  <c r="P17" i="3"/>
  <c r="Q17" i="3"/>
  <c r="R17" i="3"/>
  <c r="S17" i="3"/>
  <c r="O18" i="3"/>
  <c r="P18" i="3"/>
  <c r="Q18" i="3"/>
  <c r="R18" i="3"/>
  <c r="S18" i="3"/>
  <c r="O19" i="3"/>
  <c r="P19" i="3"/>
  <c r="Q19" i="3"/>
  <c r="R19" i="3"/>
  <c r="S19" i="3"/>
  <c r="O20" i="3"/>
  <c r="P20" i="3"/>
  <c r="Q20" i="3"/>
  <c r="R20" i="3"/>
  <c r="S20" i="3"/>
  <c r="O21" i="3"/>
  <c r="P21" i="3"/>
  <c r="Q21" i="3"/>
  <c r="R21" i="3"/>
  <c r="S21" i="3"/>
  <c r="O22" i="3"/>
  <c r="P22" i="3"/>
  <c r="Q22" i="3"/>
  <c r="R22" i="3"/>
  <c r="S22" i="3"/>
  <c r="O23" i="3"/>
  <c r="P23" i="3"/>
  <c r="Q23" i="3"/>
  <c r="R23" i="3"/>
  <c r="S23" i="3"/>
  <c r="O24" i="3"/>
  <c r="P24" i="3"/>
  <c r="Q24" i="3"/>
  <c r="R24" i="3"/>
  <c r="S24" i="3"/>
  <c r="O25" i="3"/>
  <c r="P25" i="3"/>
  <c r="Q25" i="3"/>
  <c r="R25" i="3"/>
  <c r="S25" i="3"/>
  <c r="O26" i="3"/>
  <c r="P26" i="3"/>
  <c r="Q26" i="3"/>
  <c r="R26" i="3"/>
  <c r="S26" i="3"/>
  <c r="O27" i="3"/>
  <c r="P27" i="3"/>
  <c r="Q27" i="3"/>
  <c r="R27" i="3"/>
  <c r="S27" i="3"/>
  <c r="O28" i="3"/>
  <c r="P28" i="3"/>
  <c r="Q28" i="3"/>
  <c r="R28" i="3"/>
  <c r="S28" i="3"/>
  <c r="O29" i="3"/>
  <c r="P29" i="3"/>
  <c r="Q29" i="3"/>
  <c r="R29" i="3"/>
  <c r="S29" i="3"/>
  <c r="O30" i="3"/>
  <c r="P30" i="3"/>
  <c r="Q30" i="3"/>
  <c r="R30" i="3"/>
  <c r="S30" i="3"/>
  <c r="O31" i="3"/>
  <c r="P31" i="3"/>
  <c r="Q31" i="3"/>
  <c r="R31" i="3"/>
  <c r="S31" i="3"/>
  <c r="O32" i="3"/>
  <c r="P32" i="3"/>
  <c r="Q32" i="3"/>
  <c r="R32" i="3"/>
  <c r="S32" i="3"/>
  <c r="O33" i="3"/>
  <c r="P33" i="3"/>
  <c r="Q33" i="3"/>
  <c r="R33" i="3"/>
  <c r="S33" i="3"/>
  <c r="O34" i="3"/>
  <c r="P34" i="3"/>
  <c r="Q34" i="3"/>
  <c r="R34" i="3"/>
  <c r="S34" i="3"/>
  <c r="O35" i="3"/>
  <c r="P35" i="3"/>
  <c r="Q35" i="3"/>
  <c r="R35" i="3"/>
  <c r="S35" i="3"/>
  <c r="O36" i="3"/>
  <c r="P36" i="3"/>
  <c r="Q36" i="3"/>
  <c r="R36" i="3"/>
  <c r="S36" i="3"/>
  <c r="O37" i="3"/>
  <c r="P37" i="3"/>
  <c r="Q37" i="3"/>
  <c r="R37" i="3"/>
  <c r="S37" i="3"/>
  <c r="O38" i="3"/>
  <c r="P38" i="3"/>
  <c r="Q38" i="3"/>
  <c r="R38" i="3"/>
  <c r="S38" i="3"/>
  <c r="O39" i="3"/>
  <c r="P39" i="3"/>
  <c r="Q39" i="3"/>
  <c r="R39" i="3"/>
  <c r="S39" i="3"/>
  <c r="O40" i="3"/>
  <c r="P40" i="3"/>
  <c r="Q40" i="3"/>
  <c r="R40" i="3"/>
  <c r="S40" i="3"/>
  <c r="O41" i="3"/>
  <c r="P41" i="3"/>
  <c r="Q41" i="3"/>
  <c r="R41" i="3"/>
  <c r="S41" i="3"/>
  <c r="O42" i="3"/>
  <c r="P42" i="3"/>
  <c r="Q42" i="3"/>
  <c r="R42" i="3"/>
  <c r="S42" i="3"/>
  <c r="O43" i="3"/>
  <c r="P43" i="3"/>
  <c r="Q43" i="3"/>
  <c r="R43" i="3"/>
  <c r="S43" i="3"/>
  <c r="O44" i="3"/>
  <c r="P44" i="3"/>
  <c r="Q44" i="3"/>
  <c r="R44" i="3"/>
  <c r="S44" i="3"/>
  <c r="O45" i="3"/>
  <c r="P45" i="3"/>
  <c r="Q45" i="3"/>
  <c r="R45" i="3"/>
  <c r="S45" i="3"/>
  <c r="O46" i="3"/>
  <c r="P46" i="3"/>
  <c r="Q46" i="3"/>
  <c r="R46" i="3"/>
  <c r="S46" i="3"/>
  <c r="O47" i="3"/>
  <c r="P47" i="3"/>
  <c r="Q47" i="3"/>
  <c r="R47" i="3"/>
  <c r="S47" i="3"/>
  <c r="O48" i="3"/>
  <c r="P48" i="3"/>
  <c r="Q48" i="3"/>
  <c r="R48" i="3"/>
  <c r="S48" i="3"/>
  <c r="O49" i="3"/>
  <c r="P49" i="3"/>
  <c r="Q49" i="3"/>
  <c r="R49" i="3"/>
  <c r="S49" i="3"/>
  <c r="O50" i="3"/>
  <c r="P50" i="3"/>
  <c r="Q50" i="3"/>
  <c r="R50" i="3"/>
  <c r="S50" i="3"/>
  <c r="O51" i="3"/>
  <c r="P51" i="3"/>
  <c r="Q51" i="3"/>
  <c r="R51" i="3"/>
  <c r="S51" i="3"/>
  <c r="O52" i="3"/>
  <c r="P52" i="3"/>
  <c r="Q52" i="3"/>
  <c r="R52" i="3"/>
  <c r="S52" i="3"/>
  <c r="O53" i="3"/>
  <c r="P53" i="3"/>
  <c r="Q53" i="3"/>
  <c r="R53" i="3"/>
  <c r="S53" i="3"/>
  <c r="O54" i="3"/>
  <c r="P54" i="3"/>
  <c r="Q54" i="3"/>
  <c r="R54" i="3"/>
  <c r="S54" i="3"/>
  <c r="O55" i="3"/>
  <c r="P55" i="3"/>
  <c r="Q55" i="3"/>
  <c r="R55" i="3"/>
  <c r="S55" i="3"/>
  <c r="O56" i="3"/>
  <c r="P56" i="3"/>
  <c r="Q56" i="3"/>
  <c r="R56" i="3"/>
  <c r="S56" i="3"/>
  <c r="O57" i="3"/>
  <c r="P57" i="3"/>
  <c r="Q57" i="3"/>
  <c r="R57" i="3"/>
  <c r="S57" i="3"/>
  <c r="O58" i="3"/>
  <c r="P58" i="3"/>
  <c r="Q58" i="3"/>
  <c r="R58" i="3"/>
  <c r="S58" i="3"/>
  <c r="O59" i="3"/>
  <c r="P59" i="3"/>
  <c r="Q59" i="3"/>
  <c r="R59" i="3"/>
  <c r="S59" i="3"/>
  <c r="O60" i="3"/>
  <c r="P60" i="3"/>
  <c r="Q60" i="3"/>
  <c r="R60" i="3"/>
  <c r="S60" i="3"/>
  <c r="O61" i="3"/>
  <c r="P61" i="3"/>
  <c r="Q61" i="3"/>
  <c r="R61" i="3"/>
  <c r="S61" i="3"/>
  <c r="O62" i="3"/>
  <c r="P62" i="3"/>
  <c r="Q62" i="3"/>
  <c r="R62" i="3"/>
  <c r="S62" i="3"/>
  <c r="O63" i="3"/>
  <c r="P63" i="3"/>
  <c r="Q63" i="3"/>
  <c r="R63" i="3"/>
  <c r="S63" i="3"/>
  <c r="O64" i="3"/>
  <c r="P64" i="3"/>
  <c r="Q64" i="3"/>
  <c r="R64" i="3"/>
  <c r="S64" i="3"/>
  <c r="O65" i="3"/>
  <c r="P65" i="3"/>
  <c r="Q65" i="3"/>
  <c r="R65" i="3"/>
  <c r="S65" i="3"/>
  <c r="O66" i="3"/>
  <c r="P66" i="3"/>
  <c r="Q66" i="3"/>
  <c r="R66" i="3"/>
  <c r="S66" i="3"/>
  <c r="O67" i="3"/>
  <c r="P67" i="3"/>
  <c r="Q67" i="3"/>
  <c r="R67" i="3"/>
  <c r="S67" i="3"/>
  <c r="O68" i="3"/>
  <c r="P68" i="3"/>
  <c r="Q68" i="3"/>
  <c r="R68" i="3"/>
  <c r="S68" i="3"/>
  <c r="O69" i="3"/>
  <c r="P69" i="3"/>
  <c r="Q69" i="3"/>
  <c r="R69" i="3"/>
  <c r="S69" i="3"/>
  <c r="O70" i="3"/>
  <c r="P70" i="3"/>
  <c r="Q70" i="3"/>
  <c r="R70" i="3"/>
  <c r="S70" i="3"/>
  <c r="O71" i="3"/>
  <c r="P71" i="3"/>
  <c r="Q71" i="3"/>
  <c r="R71" i="3"/>
  <c r="S71" i="3"/>
  <c r="O72" i="3"/>
  <c r="P72" i="3"/>
  <c r="Q72" i="3"/>
  <c r="R72" i="3"/>
  <c r="S72" i="3"/>
  <c r="O73" i="3"/>
  <c r="P73" i="3"/>
  <c r="Q73" i="3"/>
  <c r="R73" i="3"/>
  <c r="S73" i="3"/>
  <c r="O74" i="3"/>
  <c r="P74" i="3"/>
  <c r="Q74" i="3"/>
  <c r="R74" i="3"/>
  <c r="S74" i="3"/>
  <c r="O75" i="3"/>
  <c r="P75" i="3"/>
  <c r="Q75" i="3"/>
  <c r="R75" i="3"/>
  <c r="S75" i="3"/>
  <c r="O76" i="3"/>
  <c r="P76" i="3"/>
  <c r="Q76" i="3"/>
  <c r="R76" i="3"/>
  <c r="S76" i="3"/>
  <c r="O77" i="3"/>
  <c r="P77" i="3"/>
  <c r="Q77" i="3"/>
  <c r="R77" i="3"/>
  <c r="S77" i="3"/>
  <c r="O78" i="3"/>
  <c r="P78" i="3"/>
  <c r="Q78" i="3"/>
  <c r="R78" i="3"/>
  <c r="S78" i="3"/>
  <c r="O79" i="3"/>
  <c r="P79" i="3"/>
  <c r="Q79" i="3"/>
  <c r="R79" i="3"/>
  <c r="S79" i="3"/>
  <c r="O80" i="3"/>
  <c r="P80" i="3"/>
  <c r="Q80" i="3"/>
  <c r="R80" i="3"/>
  <c r="S80" i="3"/>
  <c r="O81" i="3"/>
  <c r="P81" i="3"/>
  <c r="Q81" i="3"/>
  <c r="R81" i="3"/>
  <c r="S81" i="3"/>
  <c r="O82" i="3"/>
  <c r="P82" i="3"/>
  <c r="Q82" i="3"/>
  <c r="R82" i="3"/>
  <c r="S82" i="3"/>
  <c r="O83" i="3"/>
  <c r="P83" i="3"/>
  <c r="Q83" i="3"/>
  <c r="R83" i="3"/>
  <c r="S83" i="3"/>
  <c r="O84" i="3"/>
  <c r="P84" i="3"/>
  <c r="Q84" i="3"/>
  <c r="R84" i="3"/>
  <c r="S84" i="3"/>
  <c r="O85" i="3"/>
  <c r="P85" i="3"/>
  <c r="Q85" i="3"/>
  <c r="R85" i="3"/>
  <c r="S85" i="3"/>
  <c r="O86" i="3"/>
  <c r="P86" i="3"/>
  <c r="Q86" i="3"/>
  <c r="R86" i="3"/>
  <c r="S86" i="3"/>
  <c r="O87" i="3"/>
  <c r="P87" i="3"/>
  <c r="Q87" i="3"/>
  <c r="R87" i="3"/>
  <c r="S87" i="3"/>
  <c r="O88" i="3"/>
  <c r="P88" i="3"/>
  <c r="Q88" i="3"/>
  <c r="R88" i="3"/>
  <c r="S88" i="3"/>
  <c r="O89" i="3"/>
  <c r="P89" i="3"/>
  <c r="Q89" i="3"/>
  <c r="R89" i="3"/>
  <c r="S89" i="3"/>
  <c r="O90" i="3"/>
  <c r="P90" i="3"/>
  <c r="Q90" i="3"/>
  <c r="R90" i="3"/>
  <c r="S90" i="3"/>
  <c r="O91" i="3"/>
  <c r="P91" i="3"/>
  <c r="Q91" i="3"/>
  <c r="R91" i="3"/>
  <c r="S91" i="3"/>
  <c r="O92" i="3"/>
  <c r="P92" i="3"/>
  <c r="Q92" i="3"/>
  <c r="R92" i="3"/>
  <c r="S92" i="3"/>
  <c r="O93" i="3"/>
  <c r="P93" i="3"/>
  <c r="Q93" i="3"/>
  <c r="R93" i="3"/>
  <c r="S93" i="3"/>
  <c r="O94" i="3"/>
  <c r="P94" i="3"/>
  <c r="Q94" i="3"/>
  <c r="R94" i="3"/>
  <c r="S94" i="3"/>
  <c r="O95" i="3"/>
  <c r="P95" i="3"/>
  <c r="Q95" i="3"/>
  <c r="R95" i="3"/>
  <c r="S95" i="3"/>
  <c r="O96" i="3"/>
  <c r="P96" i="3"/>
  <c r="Q96" i="3"/>
  <c r="R96" i="3"/>
  <c r="S96" i="3"/>
  <c r="O97" i="3"/>
  <c r="P97" i="3"/>
  <c r="Q97" i="3"/>
  <c r="R97" i="3"/>
  <c r="S97" i="3"/>
  <c r="O98" i="3"/>
  <c r="P98" i="3"/>
  <c r="Q98" i="3"/>
  <c r="R98" i="3"/>
  <c r="S98" i="3"/>
  <c r="O99" i="3"/>
  <c r="P99" i="3"/>
  <c r="Q99" i="3"/>
  <c r="R99" i="3"/>
  <c r="S99" i="3"/>
  <c r="O100" i="3"/>
  <c r="P100" i="3"/>
  <c r="Q100" i="3"/>
  <c r="R100" i="3"/>
  <c r="S100" i="3"/>
  <c r="O101" i="3"/>
  <c r="P101" i="3"/>
  <c r="Q101" i="3"/>
  <c r="R101" i="3"/>
  <c r="S101" i="3"/>
  <c r="O102" i="3"/>
  <c r="P102" i="3"/>
  <c r="Q102" i="3"/>
  <c r="R102" i="3"/>
  <c r="S102" i="3"/>
  <c r="O103" i="3"/>
  <c r="P103" i="3"/>
  <c r="Q103" i="3"/>
  <c r="R103" i="3"/>
  <c r="S103" i="3"/>
  <c r="O104" i="3"/>
  <c r="P104" i="3"/>
  <c r="Q104" i="3"/>
  <c r="R104" i="3"/>
  <c r="S104" i="3"/>
  <c r="O105" i="3"/>
  <c r="P105" i="3"/>
  <c r="Q105" i="3"/>
  <c r="R105" i="3"/>
  <c r="S105" i="3"/>
  <c r="O106" i="3"/>
  <c r="P106" i="3"/>
  <c r="Q106" i="3"/>
  <c r="R106" i="3"/>
  <c r="S106" i="3"/>
  <c r="O107" i="3"/>
  <c r="P107" i="3"/>
  <c r="Q107" i="3"/>
  <c r="R107" i="3"/>
  <c r="S107" i="3"/>
  <c r="O108" i="3"/>
  <c r="P108" i="3"/>
  <c r="Q108" i="3"/>
  <c r="R108" i="3"/>
  <c r="S108" i="3"/>
  <c r="O109" i="3"/>
  <c r="P109" i="3"/>
  <c r="Q109" i="3"/>
  <c r="R109" i="3"/>
  <c r="S109" i="3"/>
  <c r="O110" i="3"/>
  <c r="P110" i="3"/>
  <c r="Q110" i="3"/>
  <c r="R110" i="3"/>
  <c r="S110" i="3"/>
  <c r="O111" i="3"/>
  <c r="P111" i="3"/>
  <c r="Q111" i="3"/>
  <c r="R111" i="3"/>
  <c r="S111" i="3"/>
  <c r="O112" i="3"/>
  <c r="P112" i="3"/>
  <c r="Q112" i="3"/>
  <c r="R112" i="3"/>
  <c r="S112" i="3"/>
  <c r="O113" i="3"/>
  <c r="P113" i="3"/>
  <c r="Q113" i="3"/>
  <c r="R113" i="3"/>
  <c r="S113" i="3"/>
  <c r="O114" i="3"/>
  <c r="P114" i="3"/>
  <c r="Q114" i="3"/>
  <c r="R114" i="3"/>
  <c r="S114" i="3"/>
  <c r="O115" i="3"/>
  <c r="P115" i="3"/>
  <c r="Q115" i="3"/>
  <c r="R115" i="3"/>
  <c r="S115" i="3"/>
  <c r="O116" i="3"/>
  <c r="P116" i="3"/>
  <c r="Q116" i="3"/>
  <c r="R116" i="3"/>
  <c r="S116" i="3"/>
  <c r="O117" i="3"/>
  <c r="P117" i="3"/>
  <c r="Q117" i="3"/>
  <c r="R117" i="3"/>
  <c r="S117" i="3"/>
  <c r="O118" i="3"/>
  <c r="P118" i="3"/>
  <c r="Q118" i="3"/>
  <c r="R118" i="3"/>
  <c r="S118" i="3"/>
  <c r="O119" i="3"/>
  <c r="P119" i="3"/>
  <c r="Q119" i="3"/>
  <c r="R119" i="3"/>
  <c r="S119" i="3"/>
  <c r="O120" i="3"/>
  <c r="P120" i="3"/>
  <c r="Q120" i="3"/>
  <c r="R120" i="3"/>
  <c r="S120" i="3"/>
  <c r="O121" i="3"/>
  <c r="P121" i="3"/>
  <c r="Q121" i="3"/>
  <c r="R121" i="3"/>
  <c r="S121" i="3"/>
  <c r="O122" i="3"/>
  <c r="P122" i="3"/>
  <c r="Q122" i="3"/>
  <c r="R122" i="3"/>
  <c r="S122" i="3"/>
  <c r="O123" i="3"/>
  <c r="P123" i="3"/>
  <c r="Q123" i="3"/>
  <c r="R123" i="3"/>
  <c r="S123" i="3"/>
  <c r="O124" i="3"/>
  <c r="P124" i="3"/>
  <c r="Q124" i="3"/>
  <c r="R124" i="3"/>
  <c r="S124" i="3"/>
  <c r="O125" i="3"/>
  <c r="P125" i="3"/>
  <c r="Q125" i="3"/>
  <c r="R125" i="3"/>
  <c r="S125" i="3"/>
  <c r="O126" i="3"/>
  <c r="P126" i="3"/>
  <c r="Q126" i="3"/>
  <c r="R126" i="3"/>
  <c r="S126" i="3"/>
  <c r="O127" i="3"/>
  <c r="P127" i="3"/>
  <c r="Q127" i="3"/>
  <c r="R127" i="3"/>
  <c r="S127" i="3"/>
  <c r="O128" i="3"/>
  <c r="P128" i="3"/>
  <c r="Q128" i="3"/>
  <c r="R128" i="3"/>
  <c r="S128" i="3"/>
  <c r="O129" i="3"/>
  <c r="P129" i="3"/>
  <c r="Q129" i="3"/>
  <c r="R129" i="3"/>
  <c r="S129" i="3"/>
  <c r="O130" i="3"/>
  <c r="P130" i="3"/>
  <c r="Q130" i="3"/>
  <c r="R130" i="3"/>
  <c r="S130" i="3"/>
  <c r="O131" i="3"/>
  <c r="P131" i="3"/>
  <c r="Q131" i="3"/>
  <c r="R131" i="3"/>
  <c r="S131" i="3"/>
  <c r="O132" i="3"/>
  <c r="P132" i="3"/>
  <c r="Q132" i="3"/>
  <c r="R132" i="3"/>
  <c r="S132" i="3"/>
  <c r="O133" i="3"/>
  <c r="P133" i="3"/>
  <c r="Q133" i="3"/>
  <c r="R133" i="3"/>
  <c r="S133" i="3"/>
  <c r="O134" i="3"/>
  <c r="P134" i="3"/>
  <c r="Q134" i="3"/>
  <c r="R134" i="3"/>
  <c r="S134" i="3"/>
  <c r="O135" i="3"/>
  <c r="P135" i="3"/>
  <c r="Q135" i="3"/>
  <c r="R135" i="3"/>
  <c r="S135" i="3"/>
  <c r="O136" i="3"/>
  <c r="P136" i="3"/>
  <c r="Q136" i="3"/>
  <c r="R136" i="3"/>
  <c r="S136" i="3"/>
  <c r="O137" i="3"/>
  <c r="P137" i="3"/>
  <c r="Q137" i="3"/>
  <c r="R137" i="3"/>
  <c r="S137" i="3"/>
  <c r="O138" i="3"/>
  <c r="P138" i="3"/>
  <c r="Q138" i="3"/>
  <c r="R138" i="3"/>
  <c r="S138" i="3"/>
  <c r="O139" i="3"/>
  <c r="P139" i="3"/>
  <c r="Q139" i="3"/>
  <c r="R139" i="3"/>
  <c r="S139" i="3"/>
  <c r="O140" i="3"/>
  <c r="P140" i="3"/>
  <c r="Q140" i="3"/>
  <c r="R140" i="3"/>
  <c r="S140" i="3"/>
  <c r="O141" i="3"/>
  <c r="P141" i="3"/>
  <c r="Q141" i="3"/>
  <c r="R141" i="3"/>
  <c r="S141" i="3"/>
  <c r="O142" i="3"/>
  <c r="P142" i="3"/>
  <c r="Q142" i="3"/>
  <c r="R142" i="3"/>
  <c r="S142" i="3"/>
  <c r="O143" i="3"/>
  <c r="P143" i="3"/>
  <c r="Q143" i="3"/>
  <c r="R143" i="3"/>
  <c r="S143" i="3"/>
  <c r="O144" i="3"/>
  <c r="P144" i="3"/>
  <c r="Q144" i="3"/>
  <c r="R144" i="3"/>
  <c r="S144" i="3"/>
  <c r="O145" i="3"/>
  <c r="P145" i="3"/>
  <c r="Q145" i="3"/>
  <c r="R145" i="3"/>
  <c r="S145" i="3"/>
  <c r="O146" i="3"/>
  <c r="P146" i="3"/>
  <c r="Q146" i="3"/>
  <c r="R146" i="3"/>
  <c r="S146" i="3"/>
  <c r="O147" i="3"/>
  <c r="P147" i="3"/>
  <c r="Q147" i="3"/>
  <c r="R147" i="3"/>
  <c r="S147" i="3"/>
  <c r="O148" i="3"/>
  <c r="P148" i="3"/>
  <c r="Q148" i="3"/>
  <c r="R148" i="3"/>
  <c r="S148" i="3"/>
  <c r="O149" i="3"/>
  <c r="P149" i="3"/>
  <c r="Q149" i="3"/>
  <c r="R149" i="3"/>
  <c r="S149" i="3"/>
  <c r="O150" i="3"/>
  <c r="P150" i="3"/>
  <c r="Q150" i="3"/>
  <c r="R150" i="3"/>
  <c r="S150" i="3"/>
  <c r="O151" i="3"/>
  <c r="P151" i="3"/>
  <c r="Q151" i="3"/>
  <c r="R151" i="3"/>
  <c r="S151" i="3"/>
  <c r="O152" i="3"/>
  <c r="P152" i="3"/>
  <c r="Q152" i="3"/>
  <c r="R152" i="3"/>
  <c r="S152" i="3"/>
  <c r="O153" i="3"/>
  <c r="P153" i="3"/>
  <c r="Q153" i="3"/>
  <c r="R153" i="3"/>
  <c r="S153" i="3"/>
  <c r="O154" i="3"/>
  <c r="P154" i="3"/>
  <c r="Q154" i="3"/>
  <c r="R154" i="3"/>
  <c r="S154" i="3"/>
  <c r="O155" i="3"/>
  <c r="P155" i="3"/>
  <c r="Q155" i="3"/>
  <c r="R155" i="3"/>
  <c r="S155" i="3"/>
  <c r="O156" i="3"/>
  <c r="P156" i="3"/>
  <c r="Q156" i="3"/>
  <c r="R156" i="3"/>
  <c r="S156" i="3"/>
  <c r="O157" i="3"/>
  <c r="P157" i="3"/>
  <c r="Q157" i="3"/>
  <c r="R157" i="3"/>
  <c r="S157" i="3"/>
  <c r="O158" i="3"/>
  <c r="P158" i="3"/>
  <c r="Q158" i="3"/>
  <c r="R158" i="3"/>
  <c r="S158" i="3"/>
  <c r="O159" i="3"/>
  <c r="P159" i="3"/>
  <c r="Q159" i="3"/>
  <c r="R159" i="3"/>
  <c r="S159" i="3"/>
  <c r="O160" i="3"/>
  <c r="P160" i="3"/>
  <c r="Q160" i="3"/>
  <c r="R160" i="3"/>
  <c r="S160" i="3"/>
  <c r="O161" i="3"/>
  <c r="P161" i="3"/>
  <c r="Q161" i="3"/>
  <c r="R161" i="3"/>
  <c r="S161" i="3"/>
  <c r="O162" i="3"/>
  <c r="P162" i="3"/>
  <c r="Q162" i="3"/>
  <c r="R162" i="3"/>
  <c r="S162" i="3"/>
  <c r="O163" i="3"/>
  <c r="P163" i="3"/>
  <c r="Q163" i="3"/>
  <c r="R163" i="3"/>
  <c r="S163" i="3"/>
  <c r="O164" i="3"/>
  <c r="P164" i="3"/>
  <c r="Q164" i="3"/>
  <c r="R164" i="3"/>
  <c r="S164" i="3"/>
  <c r="O165" i="3"/>
  <c r="P165" i="3"/>
  <c r="Q165" i="3"/>
  <c r="R165" i="3"/>
  <c r="S165" i="3"/>
  <c r="O166" i="3"/>
  <c r="P166" i="3"/>
  <c r="Q166" i="3"/>
  <c r="R166" i="3"/>
  <c r="S166" i="3"/>
  <c r="O167" i="3"/>
  <c r="P167" i="3"/>
  <c r="Q167" i="3"/>
  <c r="R167" i="3"/>
  <c r="S167" i="3"/>
  <c r="O168" i="3"/>
  <c r="P168" i="3"/>
  <c r="Q168" i="3"/>
  <c r="R168" i="3"/>
  <c r="S168" i="3"/>
  <c r="O169" i="3"/>
  <c r="P169" i="3"/>
  <c r="Q169" i="3"/>
  <c r="R169" i="3"/>
  <c r="S169" i="3"/>
  <c r="O170" i="3"/>
  <c r="P170" i="3"/>
  <c r="Q170" i="3"/>
  <c r="R170" i="3"/>
  <c r="S170" i="3"/>
  <c r="O171" i="3"/>
  <c r="P171" i="3"/>
  <c r="Q171" i="3"/>
  <c r="R171" i="3"/>
  <c r="S171" i="3"/>
  <c r="O172" i="3"/>
  <c r="P172" i="3"/>
  <c r="Q172" i="3"/>
  <c r="R172" i="3"/>
  <c r="S172" i="3"/>
  <c r="O173" i="3"/>
  <c r="P173" i="3"/>
  <c r="Q173" i="3"/>
  <c r="R173" i="3"/>
  <c r="S173" i="3"/>
  <c r="O174" i="3"/>
  <c r="P174" i="3"/>
  <c r="Q174" i="3"/>
  <c r="R174" i="3"/>
  <c r="S174" i="3"/>
  <c r="O175" i="3"/>
  <c r="P175" i="3"/>
  <c r="Q175" i="3"/>
  <c r="R175" i="3"/>
  <c r="S175" i="3"/>
  <c r="O176" i="3"/>
  <c r="P176" i="3"/>
  <c r="Q176" i="3"/>
  <c r="R176" i="3"/>
  <c r="S176" i="3"/>
  <c r="O177" i="3"/>
  <c r="P177" i="3"/>
  <c r="Q177" i="3"/>
  <c r="R177" i="3"/>
  <c r="S177" i="3"/>
  <c r="O178" i="3"/>
  <c r="P178" i="3"/>
  <c r="Q178" i="3"/>
  <c r="R178" i="3"/>
  <c r="S178" i="3"/>
  <c r="O179" i="3"/>
  <c r="P179" i="3"/>
  <c r="Q179" i="3"/>
  <c r="R179" i="3"/>
  <c r="S179" i="3"/>
  <c r="O180" i="3"/>
  <c r="P180" i="3"/>
  <c r="Q180" i="3"/>
  <c r="R180" i="3"/>
  <c r="S180" i="3"/>
  <c r="O181" i="3"/>
  <c r="P181" i="3"/>
  <c r="Q181" i="3"/>
  <c r="R181" i="3"/>
  <c r="S181" i="3"/>
  <c r="O182" i="3"/>
  <c r="P182" i="3"/>
  <c r="Q182" i="3"/>
  <c r="R182" i="3"/>
  <c r="S182" i="3"/>
  <c r="O183" i="3"/>
  <c r="P183" i="3"/>
  <c r="Q183" i="3"/>
  <c r="R183" i="3"/>
  <c r="S183" i="3"/>
  <c r="O184" i="3"/>
  <c r="P184" i="3"/>
  <c r="Q184" i="3"/>
  <c r="R184" i="3"/>
  <c r="S184" i="3"/>
  <c r="O185" i="3"/>
  <c r="P185" i="3"/>
  <c r="Q185" i="3"/>
  <c r="R185" i="3"/>
  <c r="S185" i="3"/>
  <c r="O186" i="3"/>
  <c r="P186" i="3"/>
  <c r="Q186" i="3"/>
  <c r="R186" i="3"/>
  <c r="S186" i="3"/>
  <c r="O187" i="3"/>
  <c r="P187" i="3"/>
  <c r="Q187" i="3"/>
  <c r="R187" i="3"/>
  <c r="S187" i="3"/>
  <c r="O188" i="3"/>
  <c r="P188" i="3"/>
  <c r="Q188" i="3"/>
  <c r="R188" i="3"/>
  <c r="S188" i="3"/>
  <c r="O189" i="3"/>
  <c r="P189" i="3"/>
  <c r="Q189" i="3"/>
  <c r="R189" i="3"/>
  <c r="S189" i="3"/>
  <c r="O190" i="3"/>
  <c r="P190" i="3"/>
  <c r="Q190" i="3"/>
  <c r="R190" i="3"/>
  <c r="S190" i="3"/>
  <c r="O191" i="3"/>
  <c r="P191" i="3"/>
  <c r="Q191" i="3"/>
  <c r="R191" i="3"/>
  <c r="S191" i="3"/>
  <c r="O192" i="3"/>
  <c r="P192" i="3"/>
  <c r="Q192" i="3"/>
  <c r="R192" i="3"/>
  <c r="S192" i="3"/>
  <c r="O193" i="3"/>
  <c r="P193" i="3"/>
  <c r="Q193" i="3"/>
  <c r="R193" i="3"/>
  <c r="S193" i="3"/>
  <c r="O194" i="3"/>
  <c r="P194" i="3"/>
  <c r="Q194" i="3"/>
  <c r="R194" i="3"/>
  <c r="S194" i="3"/>
  <c r="O195" i="3"/>
  <c r="P195" i="3"/>
  <c r="Q195" i="3"/>
  <c r="R195" i="3"/>
  <c r="S195" i="3"/>
  <c r="O196" i="3"/>
  <c r="P196" i="3"/>
  <c r="Q196" i="3"/>
  <c r="R196" i="3"/>
  <c r="S196" i="3"/>
  <c r="O197" i="3"/>
  <c r="P197" i="3"/>
  <c r="Q197" i="3"/>
  <c r="R197" i="3"/>
  <c r="S197" i="3"/>
  <c r="O198" i="3"/>
  <c r="P198" i="3"/>
  <c r="Q198" i="3"/>
  <c r="R198" i="3"/>
  <c r="S198" i="3"/>
  <c r="O199" i="3"/>
  <c r="P199" i="3"/>
  <c r="Q199" i="3"/>
  <c r="R199" i="3"/>
  <c r="S199" i="3"/>
  <c r="O200" i="3"/>
  <c r="P200" i="3"/>
  <c r="Q200" i="3"/>
  <c r="R200" i="3"/>
  <c r="S200" i="3"/>
  <c r="O201" i="3"/>
  <c r="P201" i="3"/>
  <c r="Q201" i="3"/>
  <c r="R201" i="3"/>
  <c r="S201" i="3"/>
  <c r="O202" i="3"/>
  <c r="P202" i="3"/>
  <c r="Q202" i="3"/>
  <c r="R202" i="3"/>
  <c r="S202" i="3"/>
  <c r="O203" i="3"/>
  <c r="P203" i="3"/>
  <c r="Q203" i="3"/>
  <c r="R203" i="3"/>
  <c r="S203" i="3"/>
  <c r="O204" i="3"/>
  <c r="P204" i="3"/>
  <c r="Q204" i="3"/>
  <c r="R204" i="3"/>
  <c r="S204" i="3"/>
  <c r="O205" i="3"/>
  <c r="P205" i="3"/>
  <c r="Q205" i="3"/>
  <c r="R205" i="3"/>
  <c r="S205" i="3"/>
  <c r="O206" i="3"/>
  <c r="P206" i="3"/>
  <c r="Q206" i="3"/>
  <c r="R206" i="3"/>
  <c r="S206" i="3"/>
  <c r="O207" i="3"/>
  <c r="P207" i="3"/>
  <c r="Q207" i="3"/>
  <c r="R207" i="3"/>
  <c r="S207" i="3"/>
  <c r="O208" i="3"/>
  <c r="P208" i="3"/>
  <c r="Q208" i="3"/>
  <c r="R208" i="3"/>
  <c r="S208" i="3"/>
  <c r="O209" i="3"/>
  <c r="P209" i="3"/>
  <c r="Q209" i="3"/>
  <c r="R209" i="3"/>
  <c r="S209" i="3"/>
  <c r="O210" i="3"/>
  <c r="P210" i="3"/>
  <c r="Q210" i="3"/>
  <c r="R210" i="3"/>
  <c r="S210" i="3"/>
  <c r="O211" i="3"/>
  <c r="P211" i="3"/>
  <c r="Q211" i="3"/>
  <c r="R211" i="3"/>
  <c r="S211" i="3"/>
  <c r="O212" i="3"/>
  <c r="P212" i="3"/>
  <c r="Q212" i="3"/>
  <c r="R212" i="3"/>
  <c r="S212" i="3"/>
  <c r="O213" i="3"/>
  <c r="P213" i="3"/>
  <c r="Q213" i="3"/>
  <c r="R213" i="3"/>
  <c r="S213" i="3"/>
  <c r="O214" i="3"/>
  <c r="P214" i="3"/>
  <c r="Q214" i="3"/>
  <c r="R214" i="3"/>
  <c r="S214" i="3"/>
  <c r="O215" i="3"/>
  <c r="P215" i="3"/>
  <c r="Q215" i="3"/>
  <c r="R215" i="3"/>
  <c r="S215" i="3"/>
  <c r="O216" i="3"/>
  <c r="P216" i="3"/>
  <c r="Q216" i="3"/>
  <c r="R216" i="3"/>
  <c r="S216" i="3"/>
  <c r="O217" i="3"/>
  <c r="P217" i="3"/>
  <c r="Q217" i="3"/>
  <c r="R217" i="3"/>
  <c r="S217" i="3"/>
  <c r="O218" i="3"/>
  <c r="P218" i="3"/>
  <c r="Q218" i="3"/>
  <c r="R218" i="3"/>
  <c r="S218" i="3"/>
  <c r="O219" i="3"/>
  <c r="P219" i="3"/>
  <c r="Q219" i="3"/>
  <c r="R219" i="3"/>
  <c r="S219" i="3"/>
  <c r="O220" i="3"/>
  <c r="P220" i="3"/>
  <c r="Q220" i="3"/>
  <c r="R220" i="3"/>
  <c r="S220" i="3"/>
  <c r="O221" i="3"/>
  <c r="P221" i="3"/>
  <c r="Q221" i="3"/>
  <c r="R221" i="3"/>
  <c r="S221" i="3"/>
  <c r="O222" i="3"/>
  <c r="P222" i="3"/>
  <c r="Q222" i="3"/>
  <c r="R222" i="3"/>
  <c r="S222" i="3"/>
  <c r="O223" i="3"/>
  <c r="P223" i="3"/>
  <c r="Q223" i="3"/>
  <c r="R223" i="3"/>
  <c r="S223" i="3"/>
  <c r="O224" i="3"/>
  <c r="P224" i="3"/>
  <c r="Q224" i="3"/>
  <c r="R224" i="3"/>
  <c r="S224" i="3"/>
  <c r="O225" i="3"/>
  <c r="P225" i="3"/>
  <c r="Q225" i="3"/>
  <c r="R225" i="3"/>
  <c r="S225" i="3"/>
  <c r="O226" i="3"/>
  <c r="P226" i="3"/>
  <c r="Q226" i="3"/>
  <c r="R226" i="3"/>
  <c r="S226" i="3"/>
  <c r="O227" i="3"/>
  <c r="P227" i="3"/>
  <c r="Q227" i="3"/>
  <c r="R227" i="3"/>
  <c r="S227" i="3"/>
  <c r="O228" i="3"/>
  <c r="P228" i="3"/>
  <c r="Q228" i="3"/>
  <c r="R228" i="3"/>
  <c r="S228" i="3"/>
  <c r="O229" i="3"/>
  <c r="P229" i="3"/>
  <c r="Q229" i="3"/>
  <c r="R229" i="3"/>
  <c r="S229" i="3"/>
  <c r="O230" i="3"/>
  <c r="P230" i="3"/>
  <c r="Q230" i="3"/>
  <c r="R230" i="3"/>
  <c r="S230" i="3"/>
  <c r="O231" i="3"/>
  <c r="P231" i="3"/>
  <c r="Q231" i="3"/>
  <c r="R231" i="3"/>
  <c r="S231" i="3"/>
  <c r="O232" i="3"/>
  <c r="P232" i="3"/>
  <c r="Q232" i="3"/>
  <c r="R232" i="3"/>
  <c r="S232" i="3"/>
  <c r="O233" i="3"/>
  <c r="P233" i="3"/>
  <c r="Q233" i="3"/>
  <c r="R233" i="3"/>
  <c r="S233" i="3"/>
  <c r="O234" i="3"/>
  <c r="P234" i="3"/>
  <c r="Q234" i="3"/>
  <c r="R234" i="3"/>
  <c r="S234" i="3"/>
  <c r="O235" i="3"/>
  <c r="P235" i="3"/>
  <c r="Q235" i="3"/>
  <c r="R235" i="3"/>
  <c r="S235" i="3"/>
  <c r="O236" i="3"/>
  <c r="P236" i="3"/>
  <c r="Q236" i="3"/>
  <c r="R236" i="3"/>
  <c r="S236" i="3"/>
  <c r="O237" i="3"/>
  <c r="P237" i="3"/>
  <c r="Q237" i="3"/>
  <c r="R237" i="3"/>
  <c r="S237" i="3"/>
  <c r="O238" i="3"/>
  <c r="P238" i="3"/>
  <c r="Q238" i="3"/>
  <c r="R238" i="3"/>
  <c r="S238" i="3"/>
  <c r="O239" i="3"/>
  <c r="P239" i="3"/>
  <c r="Q239" i="3"/>
  <c r="R239" i="3"/>
  <c r="S239" i="3"/>
  <c r="O240" i="3"/>
  <c r="P240" i="3"/>
  <c r="Q240" i="3"/>
  <c r="R240" i="3"/>
  <c r="S240" i="3"/>
  <c r="O241" i="3"/>
  <c r="P241" i="3"/>
  <c r="Q241" i="3"/>
  <c r="R241" i="3"/>
  <c r="S241" i="3"/>
  <c r="O242" i="3"/>
  <c r="P242" i="3"/>
  <c r="Q242" i="3"/>
  <c r="R242" i="3"/>
  <c r="S242" i="3"/>
  <c r="O243" i="3"/>
  <c r="P243" i="3"/>
  <c r="Q243" i="3"/>
  <c r="R243" i="3"/>
  <c r="S243" i="3"/>
  <c r="O244" i="3"/>
  <c r="P244" i="3"/>
  <c r="Q244" i="3"/>
  <c r="R244" i="3"/>
  <c r="S244" i="3"/>
  <c r="O245" i="3"/>
  <c r="P245" i="3"/>
  <c r="Q245" i="3"/>
  <c r="R245" i="3"/>
  <c r="S245" i="3"/>
  <c r="O246" i="3"/>
  <c r="P246" i="3"/>
  <c r="Q246" i="3"/>
  <c r="R246" i="3"/>
  <c r="S246" i="3"/>
  <c r="O247" i="3"/>
  <c r="P247" i="3"/>
  <c r="Q247" i="3"/>
  <c r="R247" i="3"/>
  <c r="S247" i="3"/>
  <c r="O248" i="3"/>
  <c r="P248" i="3"/>
  <c r="Q248" i="3"/>
  <c r="R248" i="3"/>
  <c r="S248" i="3"/>
  <c r="O249" i="3"/>
  <c r="P249" i="3"/>
  <c r="Q249" i="3"/>
  <c r="R249" i="3"/>
  <c r="S249" i="3"/>
  <c r="O250" i="3"/>
  <c r="P250" i="3"/>
  <c r="Q250" i="3"/>
  <c r="R250" i="3"/>
  <c r="S250" i="3"/>
  <c r="O251" i="3"/>
  <c r="P251" i="3"/>
  <c r="Q251" i="3"/>
  <c r="R251" i="3"/>
  <c r="S251" i="3"/>
  <c r="L5" i="4" l="1"/>
  <c r="K13" i="4"/>
  <c r="K9" i="4"/>
  <c r="L11" i="4"/>
  <c r="L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<sst xmlns="http://schemas.openxmlformats.org/spreadsheetml/2006/main" count="4882" uniqueCount="503">
  <si>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</si>
  <si>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</si>
  <si>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</si>
  <si>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</si>
  <si>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</si>
  <si>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</si>
  <si>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</si>
  <si>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</si>
  <si>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</si>
  <si>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</si>
  <si>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</si>
  <si>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</si>
  <si>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</si>
  <si>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</si>
  <si>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</si>
  <si>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</si>
  <si>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</si>
  <si>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</si>
  <si>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</si>
  <si>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</si>
  <si>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</si>
  <si>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</si>
  <si>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</si>
  <si>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</si>
  <si>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</si>
  <si>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</si>
  <si>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</si>
  <si>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</si>
  <si>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</si>
  <si>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</si>
  <si>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</si>
  <si>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</si>
  <si>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</si>
  <si>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</si>
  <si>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</si>
  <si>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</si>
  <si>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</si>
  <si>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</si>
  <si>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</si>
  <si>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</si>
  <si>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</si>
  <si>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</si>
  <si>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</si>
  <si>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</si>
  <si>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</si>
  <si>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</si>
  <si>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</si>
  <si>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</si>
  <si>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</si>
  <si>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</si>
  <si>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</si>
  <si>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</si>
  <si>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</si>
  <si>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</si>
  <si>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</si>
  <si>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</si>
  <si>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</si>
  <si>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</si>
  <si>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</si>
  <si>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</si>
  <si>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</si>
  <si>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</si>
  <si>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</si>
  <si>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</si>
  <si>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</si>
  <si>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</si>
  <si>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</si>
  <si>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</si>
  <si>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</si>
  <si>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</si>
  <si>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</si>
  <si>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</si>
  <si>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</si>
  <si>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</si>
  <si>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</si>
  <si>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</si>
  <si>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</si>
  <si>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</si>
  <si>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</si>
  <si>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</si>
  <si>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</si>
  <si>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</si>
  <si>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</si>
  <si>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</si>
  <si>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</si>
  <si>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</si>
  <si>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</si>
  <si>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</si>
  <si>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</si>
  <si>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</si>
  <si>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</si>
  <si>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</si>
  <si>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</si>
  <si>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</si>
  <si>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</si>
  <si>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</si>
  <si>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</si>
  <si>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</si>
  <si>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</si>
  <si>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</si>
  <si>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</si>
  <si>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</si>
  <si>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</si>
  <si>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</si>
  <si>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</si>
  <si>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</si>
  <si>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</si>
  <si>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</si>
  <si>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</si>
  <si>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</si>
  <si>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</si>
  <si>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</si>
  <si>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</si>
  <si>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</si>
  <si>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</si>
  <si>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</si>
  <si>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</si>
  <si>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</si>
  <si>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</si>
  <si>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</si>
  <si>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</si>
  <si>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</si>
  <si>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</si>
  <si>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</si>
  <si>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</si>
  <si>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</si>
  <si>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</si>
  <si>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</si>
  <si>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</si>
  <si>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</si>
  <si>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</si>
  <si>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</si>
  <si>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</si>
  <si>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</si>
  <si>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</si>
  <si>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</si>
  <si>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</si>
  <si>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</si>
  <si>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</si>
  <si>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</si>
  <si>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</si>
  <si>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</si>
  <si>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</si>
  <si>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</si>
  <si>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</si>
  <si>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</si>
  <si>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</si>
  <si>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</si>
  <si>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</si>
  <si>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</si>
  <si>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</si>
  <si>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</si>
  <si>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</si>
  <si>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</si>
  <si>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</si>
  <si>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</si>
  <si>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</si>
  <si>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</si>
  <si>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</si>
  <si>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</si>
  <si>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</si>
  <si>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</si>
  <si>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</si>
  <si>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</si>
  <si>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</si>
  <si>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</si>
  <si>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</si>
  <si>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</si>
  <si>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</si>
  <si>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</si>
  <si>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</si>
  <si>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</si>
  <si>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</si>
  <si>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</si>
  <si>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</si>
  <si>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</si>
  <si>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</si>
  <si>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</si>
  <si>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</si>
  <si>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</si>
  <si>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</si>
  <si>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</si>
  <si>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</si>
  <si>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</si>
  <si>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</si>
  <si>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</si>
  <si>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</si>
  <si>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</si>
  <si>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</si>
  <si>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</si>
  <si>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</si>
  <si>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</si>
  <si>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</si>
  <si>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</si>
  <si>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</si>
  <si>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</si>
  <si>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</si>
  <si>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</si>
  <si>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</si>
  <si>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</si>
  <si>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</si>
  <si>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</si>
  <si>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</si>
  <si>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</si>
  <si>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</si>
  <si>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</si>
  <si>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</si>
  <si>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</si>
  <si>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</si>
  <si>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</si>
  <si>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</si>
  <si>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</si>
  <si>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</si>
  <si>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</si>
  <si>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</si>
  <si>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</si>
  <si>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</si>
  <si>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</si>
  <si>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</si>
  <si>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</si>
  <si>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</si>
  <si>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</si>
  <si>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</si>
  <si>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</si>
  <si>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</si>
  <si>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</si>
  <si>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</si>
  <si>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</si>
  <si>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</si>
  <si>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</si>
  <si>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</si>
  <si>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</si>
  <si>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</si>
  <si>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</si>
  <si>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</si>
  <si>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</si>
  <si>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</si>
  <si>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</si>
  <si>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</si>
  <si>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</si>
  <si>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</si>
  <si>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</si>
  <si>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</si>
  <si>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</si>
  <si>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</si>
  <si>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</si>
  <si>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</si>
  <si>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</si>
  <si>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</si>
  <si>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</si>
  <si>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</si>
  <si>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</si>
  <si>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</si>
  <si>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</si>
  <si>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</si>
  <si>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</si>
  <si>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</si>
  <si>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</si>
  <si>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</si>
  <si>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</si>
  <si>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</si>
  <si>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</si>
  <si>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</si>
  <si>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</si>
  <si>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</si>
  <si>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</si>
  <si>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</si>
  <si>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</si>
  <si>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</si>
  <si>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</si>
  <si>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</si>
  <si>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</si>
  <si>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</si>
  <si>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</si>
  <si>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</si>
  <si>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</si>
  <si>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</si>
  <si>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</si>
  <si>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</si>
  <si>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</si>
  <si>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</si>
  <si>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</si>
  <si>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</si>
  <si>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</si>
  <si>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</si>
  <si>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</si>
  <si>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</si>
  <si>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</si>
  <si>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</si>
  <si>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</si>
  <si>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</si>
  <si>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</si>
  <si>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</si>
  <si>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</si>
  <si>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</si>
  <si>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</si>
  <si>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</si>
  <si>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</si>
  <si>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</si>
  <si>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</si>
  <si>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</si>
  <si>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</si>
  <si>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</si>
  <si>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</si>
  <si>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</si>
  <si>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</si>
  <si>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</si>
  <si>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</si>
  <si>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</si>
  <si>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</si>
  <si>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</si>
  <si>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</si>
  <si>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</si>
  <si>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</si>
  <si>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</si>
  <si>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</si>
  <si>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</si>
  <si>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</si>
  <si>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</si>
  <si>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</si>
  <si>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</si>
  <si>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</si>
  <si>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</si>
  <si>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</si>
  <si>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</si>
  <si>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</si>
  <si>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</si>
  <si>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</si>
  <si>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</si>
  <si>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</si>
  <si>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</si>
  <si>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</si>
  <si>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</si>
  <si>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</si>
  <si>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</si>
  <si>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</si>
  <si>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</si>
  <si>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</si>
  <si>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</si>
  <si>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</si>
  <si>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</si>
  <si>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</si>
  <si>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</si>
  <si>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</si>
  <si>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</si>
  <si>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</si>
  <si>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</si>
  <si>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</si>
  <si>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</si>
  <si>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</si>
  <si>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</si>
  <si>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</si>
  <si>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</si>
  <si>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</si>
  <si>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</si>
  <si>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</si>
  <si>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</si>
  <si>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</si>
  <si>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</si>
  <si>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</si>
  <si>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</si>
  <si>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</si>
  <si>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</si>
  <si>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</si>
  <si>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</si>
  <si>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</si>
  <si>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</si>
  <si>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</si>
  <si>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</si>
  <si>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</si>
  <si>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</si>
  <si>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</si>
  <si>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</si>
  <si>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</si>
  <si>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</si>
  <si>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</si>
  <si>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</si>
  <si>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</si>
  <si>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</si>
  <si>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</si>
  <si>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</si>
  <si>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</si>
  <si>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</si>
  <si>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</si>
  <si>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</si>
  <si>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</si>
  <si>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</si>
  <si>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</si>
  <si>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</si>
  <si>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</si>
  <si>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</si>
  <si>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</si>
  <si>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</si>
  <si>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</si>
  <si>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</si>
  <si>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</si>
  <si>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</si>
  <si>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</si>
  <si>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</si>
  <si>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Order_Month</t>
  </si>
  <si>
    <t>Month_End</t>
  </si>
  <si>
    <t>Customer_Tenure_Years</t>
  </si>
  <si>
    <t>Timestamp</t>
  </si>
  <si>
    <t>Name_Abbrev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</si>
  <si>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</si>
  <si>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</si>
  <si>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</si>
  <si>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</si>
  <si>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</si>
  <si>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</si>
  <si>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</si>
  <si>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</si>
  <si>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</si>
  <si>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CUSTOMER ANALYSIS — HIGH-VALUE CUSTOMERS</t>
  </si>
  <si>
    <t>Orders</t>
  </si>
  <si>
    <t>Units</t>
  </si>
  <si>
    <t>Total Purchase</t>
  </si>
  <si>
    <t>Rank</t>
  </si>
  <si>
    <t>High Value?</t>
  </si>
  <si>
    <t>Avg Order</t>
  </si>
  <si>
    <t>Timestamp using NOW()</t>
  </si>
  <si>
    <t>Status</t>
  </si>
  <si>
    <t>Active</t>
  </si>
  <si>
    <t>WHAT-IF ANALYSIS — SCENARIO MANAGER &amp; GOAL SEEK</t>
  </si>
  <si>
    <t>Scenario Manager: Unit-price change</t>
  </si>
  <si>
    <t>Scenario</t>
  </si>
  <si>
    <t>Unit Price Change</t>
  </si>
  <si>
    <t>Projected Revenue</t>
  </si>
  <si>
    <t>Projected Profit Proxy</t>
  </si>
  <si>
    <t>Revenue Change</t>
  </si>
  <si>
    <t>Downside -10%</t>
  </si>
  <si>
    <t>Downside -5%</t>
  </si>
  <si>
    <t>Current</t>
  </si>
  <si>
    <t>Upside +5%</t>
  </si>
  <si>
    <t>Upside +10%</t>
  </si>
  <si>
    <t>Upside +20%</t>
  </si>
  <si>
    <t>Goal Seek setup</t>
  </si>
  <si>
    <t>Target revenue</t>
  </si>
  <si>
    <t>Variable cell (price multiplier)</t>
  </si>
  <si>
    <t>Resulting revenue</t>
  </si>
  <si>
    <t>Goal Seek answer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</si>
  <si>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</si>
  <si>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</si>
  <si>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</si>
  <si>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</si>
  <si>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</si>
  <si>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</si>
  <si>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</si>
  <si>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</si>
  <si>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</si>
  <si>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</si>
  <si>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</si>
  <si>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</si>
  <si>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</si>
  <si>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</si>
  <si>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</si>
  <si>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</si>
  <si>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</si>
  <si>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</si>
  <si>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</si>
  <si>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</si>
  <si>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</si>
  <si>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</si>
  <si>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</si>
  <si>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</si>
  <si>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</si>
  <si>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</si>
  <si>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749.97</t>
  </si>
  <si>
    <t>Residuals</t>
  </si>
  <si>
    <t>LOOKUPS, LIST COMPARISON &amp; TEXT FUNCTIONS</t>
  </si>
  <si>
    <t>List A — Customer Names</t>
  </si>
  <si>
    <t>List B — Customer Names</t>
  </si>
  <si>
    <t>Matching Names</t>
  </si>
  <si>
    <t>Text function examples</t>
  </si>
  <si>
    <t>Original Name</t>
  </si>
  <si>
    <t>Initials</t>
  </si>
  <si>
    <t>First Name</t>
  </si>
  <si>
    <t>Last Name</t>
  </si>
  <si>
    <t>Name Length</t>
  </si>
  <si>
    <t>Row Labels</t>
  </si>
  <si>
    <t>Grand Total</t>
  </si>
  <si>
    <t>2024</t>
  </si>
  <si>
    <t>2025</t>
  </si>
  <si>
    <t>Sum of Quantity</t>
  </si>
  <si>
    <t>DATA INTELLIGENCE DASHBOARD — CUSTOMER TRANSACTIONS</t>
  </si>
  <si>
    <t>Total Revenue</t>
  </si>
  <si>
    <t>Avg Order Value</t>
  </si>
  <si>
    <t>Top Product</t>
  </si>
  <si>
    <t>Sum of Unit_Price</t>
  </si>
  <si>
    <t>Storytelling</t>
  </si>
  <si>
    <t>Overall Performance</t>
  </si>
  <si>
    <t>Revenue ₹2,29,192.47 from 250 orders</t>
  </si>
  <si>
    <t>Customer Activity</t>
  </si>
  <si>
    <t>753 units sold across 250 transactions</t>
  </si>
  <si>
    <t>Average Order Value</t>
  </si>
  <si>
    <t>₹916.77 per order</t>
  </si>
  <si>
    <t>Bookshelf – 102 units sold</t>
  </si>
  <si>
    <t>Category Insight</t>
  </si>
  <si>
    <t>Electronics is a major contributor to revenue</t>
  </si>
  <si>
    <t>Regional Insight</t>
  </si>
  <si>
    <t>East region generated the highest revenue</t>
  </si>
  <si>
    <t>Business Takeaway</t>
  </si>
  <si>
    <t>Product and regional analysis can help identify key sales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</si>
</sst>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dd/mmm/yyyy"/>
    <numFmt numFmtId="169" formatCode="&quot;₹&quot;#,##0.00"/>
    <numFmt numFmtId="170" formatCode="dd/mmm/yyyy\ hh:mm:ss"/>
    <numFmt numFmtId="171" formatCode="0.000#"/>
  </numFmts>
  <fonts count="21"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1"/>
      <color indexed="8"/>
      <name val="Calibri"/>
      <charset val="134"/>
    </font>
    <font>
      <b/>
      <sz val="18"/>
      <color indexed="9"/>
      <name val="Calibri"/>
      <charset val="134"/>
    </font>
    <font>
      <b/>
      <sz val="11"/>
      <color indexed="9"/>
      <name val="Calibri"/>
      <charset val="134"/>
    </font>
    <font>
      <b/>
      <sz val="11"/>
      <color indexed="9"/>
      <name val="Calibri"/>
      <family val="2"/>
      <charset val="134"/>
    </font>
    <font>
      <sz val="11"/>
      <color indexed="8"/>
      <name val="Calibri"/>
      <family val="2"/>
    </font>
    <font>
      <b/>
      <sz val="18"/>
      <color indexed="9"/>
      <name val="Calibri"/>
      <family val="2"/>
    </font>
    <font>
      <b/>
      <sz val="11"/>
      <color indexed="9"/>
      <name val="Calibri"/>
      <family val="2"/>
    </font>
    <font>
      <b/>
      <sz val="14"/>
      <color indexed="56"/>
      <name val="Calibri"/>
      <family val="2"/>
    </font>
    <font>
      <i/>
      <sz val="11"/>
      <color indexed="23"/>
      <name val="Calibri"/>
      <family val="2"/>
    </font>
    <font>
      <sz val="14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11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3"/>
      <color indexed="56"/>
      <name val="Calibri"/>
      <family val="2"/>
    </font>
    <font>
      <b/>
      <sz val="16"/>
      <color indexed="63"/>
      <name val="Calibri"/>
      <charset val="13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AF4F4"/>
        <bgColor indexed="64"/>
      </patternFill>
    </fill>
    <fill>
      <patternFill patternType="solid">
        <fgColor theme="5" tint="-0.49998474074526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14" fontId="1" fillId="0" borderId="8" xfId="0" applyNumberFormat="1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5" fillId="3" borderId="10" xfId="0" applyNumberFormat="1" applyFont="1" applyFill="1" applyBorder="1" applyAlignment="1" applyProtection="1">
      <alignment horizontal="left"/>
    </xf>
    <xf numFmtId="0" fontId="5" fillId="4" borderId="1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/>
    </xf>
    <xf numFmtId="168" fontId="3" fillId="0" borderId="0" xfId="0" applyNumberFormat="1" applyFont="1" applyFill="1" applyBorder="1" applyAlignment="1" applyProtection="1">
      <alignment horizontal="left"/>
    </xf>
    <xf numFmtId="169" fontId="3" fillId="0" borderId="0" xfId="0" applyNumberFormat="1" applyFont="1" applyFill="1" applyBorder="1" applyAlignment="1" applyProtection="1">
      <alignment horizontal="left"/>
    </xf>
    <xf numFmtId="170" fontId="3" fillId="0" borderId="0" xfId="0" applyNumberFormat="1" applyFont="1" applyFill="1" applyBorder="1" applyAlignment="1" applyProtection="1">
      <alignment horizontal="left"/>
    </xf>
    <xf numFmtId="0" fontId="7" fillId="0" borderId="0" xfId="0" applyNumberFormat="1" applyFont="1" applyFill="1" applyBorder="1" applyAlignment="1" applyProtection="1"/>
    <xf numFmtId="0" fontId="8" fillId="2" borderId="0" xfId="0" applyNumberFormat="1" applyFont="1" applyFill="1" applyBorder="1" applyAlignment="1" applyProtection="1">
      <alignment horizontal="center" vertical="center"/>
    </xf>
    <xf numFmtId="0" fontId="9" fillId="3" borderId="10" xfId="0" applyNumberFormat="1" applyFont="1" applyFill="1" applyBorder="1" applyAlignment="1" applyProtection="1">
      <alignment horizontal="center"/>
    </xf>
    <xf numFmtId="169" fontId="7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/>
    <xf numFmtId="170" fontId="7" fillId="0" borderId="0" xfId="0" applyNumberFormat="1" applyFont="1" applyFill="1" applyBorder="1" applyAlignment="1" applyProtection="1"/>
    <xf numFmtId="0" fontId="9" fillId="3" borderId="10" xfId="0" applyNumberFormat="1" applyFont="1" applyFill="1" applyBorder="1" applyAlignment="1" applyProtection="1">
      <alignment horizontal="left"/>
    </xf>
    <xf numFmtId="0" fontId="7" fillId="0" borderId="0" xfId="0" applyNumberFormat="1" applyFont="1" applyFill="1" applyBorder="1" applyAlignment="1" applyProtection="1">
      <alignment horizontal="left"/>
    </xf>
    <xf numFmtId="169" fontId="7" fillId="0" borderId="0" xfId="0" applyNumberFormat="1" applyFont="1" applyFill="1" applyBorder="1" applyAlignment="1" applyProtection="1">
      <alignment horizontal="left"/>
    </xf>
    <xf numFmtId="0" fontId="9" fillId="4" borderId="10" xfId="0" applyNumberFormat="1" applyFont="1" applyFill="1" applyBorder="1" applyAlignment="1" applyProtection="1">
      <alignment horizontal="center"/>
    </xf>
    <xf numFmtId="171" fontId="7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wrapText="1"/>
    </xf>
    <xf numFmtId="9" fontId="7" fillId="0" borderId="0" xfId="0" applyNumberFormat="1" applyFont="1" applyFill="1" applyBorder="1" applyAlignment="1" applyProtection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5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0" fillId="4" borderId="0" xfId="0" applyFill="1"/>
    <xf numFmtId="0" fontId="12" fillId="4" borderId="0" xfId="0" applyFont="1" applyFill="1"/>
    <xf numFmtId="0" fontId="13" fillId="0" borderId="0" xfId="0" applyFont="1"/>
    <xf numFmtId="0" fontId="15" fillId="0" borderId="0" xfId="0" applyFont="1" applyFill="1" applyBorder="1" applyAlignment="1"/>
    <xf numFmtId="0" fontId="14" fillId="5" borderId="11" xfId="0" applyFont="1" applyFill="1" applyBorder="1" applyAlignment="1">
      <alignment horizontal="centerContinuous"/>
    </xf>
    <xf numFmtId="0" fontId="14" fillId="5" borderId="11" xfId="0" applyFont="1" applyFill="1" applyBorder="1" applyAlignment="1">
      <alignment horizontal="center"/>
    </xf>
    <xf numFmtId="0" fontId="17" fillId="0" borderId="0" xfId="0" applyNumberFormat="1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3" borderId="10" xfId="0" applyNumberFormat="1" applyFont="1" applyFill="1" applyBorder="1" applyAlignment="1" applyProtection="1">
      <alignment horizontal="left"/>
    </xf>
    <xf numFmtId="0" fontId="4" fillId="2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2" borderId="0" xfId="0" applyNumberFormat="1" applyFont="1" applyFill="1" applyBorder="1" applyAlignment="1" applyProtection="1">
      <alignment vertical="center" wrapText="1"/>
    </xf>
    <xf numFmtId="169" fontId="18" fillId="6" borderId="0" xfId="0" applyNumberFormat="1" applyFont="1" applyFill="1" applyBorder="1" applyAlignment="1" applyProtection="1">
      <alignment vertical="center" wrapText="1"/>
    </xf>
    <xf numFmtId="169" fontId="0" fillId="0" borderId="0" xfId="0" applyNumberFormat="1"/>
    <xf numFmtId="0" fontId="18" fillId="6" borderId="0" xfId="0" applyNumberFormat="1" applyFont="1" applyFill="1" applyBorder="1" applyAlignment="1" applyProtection="1">
      <alignment vertical="center" wrapText="1"/>
    </xf>
    <xf numFmtId="0" fontId="16" fillId="7" borderId="0" xfId="0" applyFont="1" applyFill="1"/>
    <xf numFmtId="0" fontId="0" fillId="7" borderId="0" xfId="0" applyFill="1"/>
    <xf numFmtId="0" fontId="19" fillId="0" borderId="0" xfId="0" applyFont="1"/>
    <xf numFmtId="0" fontId="20" fillId="0" borderId="0" xfId="0" applyFont="1"/>
  </cellXfs>
  <cellStyles count="1">
    <cellStyle name="Normal" xfId="0" builtinId="0"/>
  </cellStyles>
  <dxfs count="1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none"/>
      </font>
      <numFmt numFmtId="0" formatCode="General"/>
      <fill>
        <patternFill patternType="solid">
          <fgColor indexed="64"/>
          <bgColor rgb="FF2F75B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medium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Continuous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numFmt numFmtId="19" formatCode="dd/mm/yyyy"/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numFmt numFmtId="19" formatCode="dd/mm/yyyy"/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none"/>
      </font>
      <numFmt numFmtId="0" formatCode="General"/>
      <fill>
        <patternFill patternType="solid">
          <fgColor indexed="64"/>
          <bgColor rgb="FF2F75B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&quot;₹&quot;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&quot;₹&quot;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&quot;₹&quot;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border outline="0"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none"/>
      </font>
      <numFmt numFmtId="0" formatCode="General"/>
      <fill>
        <patternFill patternType="solid">
          <fgColor indexed="64"/>
          <bgColor rgb="FF2F75B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70" formatCode="dd/mmm/yyyy\ hh:mm:ss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none"/>
      </font>
      <numFmt numFmtId="0" formatCode="General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&quot;₹&quot;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medium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none"/>
      </font>
      <numFmt numFmtId="0" formatCode="General"/>
      <fill>
        <patternFill patternType="solid">
          <fgColor indexed="64"/>
          <bgColor rgb="FF2F75B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&quot;₹&quot;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9" formatCode="&quot;₹&quot;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border outline="0">
        <bottom style="medium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charset val="134"/>
        <scheme val="none"/>
      </font>
      <numFmt numFmtId="0" formatCode="General"/>
      <fill>
        <patternFill patternType="solid">
          <fgColor indexed="64"/>
          <bgColor rgb="FF008C9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170" formatCode="dd/mmm/yyyy\ hh:mm:ss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168" formatCode="dd/m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168" formatCode="dd/m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169" formatCode="&quot;₹&quot;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168" formatCode="dd/m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border outline="0">
        <bottom style="medium">
          <color rgb="FF17365D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'raw data'!$H$3:$H$251</c:f>
              <c:numCache>
                <c:formatCode>General</c:formatCode>
                <c:ptCount val="24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5</c:v>
                </c:pt>
                <c:pt idx="27">
                  <c:v>2</c:v>
                </c:pt>
                <c:pt idx="28">
                  <c:v>4</c:v>
                </c:pt>
                <c:pt idx="29">
                  <c:v>5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5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5</c:v>
                </c:pt>
                <c:pt idx="42">
                  <c:v>5</c:v>
                </c:pt>
                <c:pt idx="43">
                  <c:v>1</c:v>
                </c:pt>
                <c:pt idx="44">
                  <c:v>2</c:v>
                </c:pt>
                <c:pt idx="45">
                  <c:v>4</c:v>
                </c:pt>
                <c:pt idx="46">
                  <c:v>5</c:v>
                </c:pt>
                <c:pt idx="47">
                  <c:v>2</c:v>
                </c:pt>
                <c:pt idx="48">
                  <c:v>5</c:v>
                </c:pt>
                <c:pt idx="49">
                  <c:v>5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1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5</c:v>
                </c:pt>
                <c:pt idx="62">
                  <c:v>1</c:v>
                </c:pt>
                <c:pt idx="63">
                  <c:v>2</c:v>
                </c:pt>
                <c:pt idx="64">
                  <c:v>5</c:v>
                </c:pt>
                <c:pt idx="65">
                  <c:v>4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1</c:v>
                </c:pt>
                <c:pt idx="73">
                  <c:v>5</c:v>
                </c:pt>
                <c:pt idx="74">
                  <c:v>2</c:v>
                </c:pt>
                <c:pt idx="75">
                  <c:v>4</c:v>
                </c:pt>
                <c:pt idx="76">
                  <c:v>2</c:v>
                </c:pt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2</c:v>
                </c:pt>
                <c:pt idx="81">
                  <c:v>4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5</c:v>
                </c:pt>
                <c:pt idx="86">
                  <c:v>4</c:v>
                </c:pt>
                <c:pt idx="87">
                  <c:v>5</c:v>
                </c:pt>
                <c:pt idx="88">
                  <c:v>3</c:v>
                </c:pt>
                <c:pt idx="89">
                  <c:v>4</c:v>
                </c:pt>
                <c:pt idx="90">
                  <c:v>5</c:v>
                </c:pt>
                <c:pt idx="91">
                  <c:v>2</c:v>
                </c:pt>
                <c:pt idx="92">
                  <c:v>5</c:v>
                </c:pt>
                <c:pt idx="93">
                  <c:v>3</c:v>
                </c:pt>
                <c:pt idx="94">
                  <c:v>5</c:v>
                </c:pt>
                <c:pt idx="95">
                  <c:v>3</c:v>
                </c:pt>
                <c:pt idx="96">
                  <c:v>2</c:v>
                </c:pt>
                <c:pt idx="97">
                  <c:v>1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1</c:v>
                </c:pt>
                <c:pt idx="107">
                  <c:v>3</c:v>
                </c:pt>
                <c:pt idx="108">
                  <c:v>2</c:v>
                </c:pt>
                <c:pt idx="109">
                  <c:v>4</c:v>
                </c:pt>
                <c:pt idx="110">
                  <c:v>2</c:v>
                </c:pt>
                <c:pt idx="111">
                  <c:v>4</c:v>
                </c:pt>
                <c:pt idx="112">
                  <c:v>5</c:v>
                </c:pt>
                <c:pt idx="113">
                  <c:v>1</c:v>
                </c:pt>
                <c:pt idx="114">
                  <c:v>4</c:v>
                </c:pt>
                <c:pt idx="115">
                  <c:v>3</c:v>
                </c:pt>
                <c:pt idx="116">
                  <c:v>3</c:v>
                </c:pt>
                <c:pt idx="117">
                  <c:v>2</c:v>
                </c:pt>
                <c:pt idx="118">
                  <c:v>1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5</c:v>
                </c:pt>
                <c:pt idx="127">
                  <c:v>4</c:v>
                </c:pt>
                <c:pt idx="128">
                  <c:v>1</c:v>
                </c:pt>
                <c:pt idx="129">
                  <c:v>2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5</c:v>
                </c:pt>
                <c:pt idx="134">
                  <c:v>3</c:v>
                </c:pt>
                <c:pt idx="135">
                  <c:v>5</c:v>
                </c:pt>
                <c:pt idx="136">
                  <c:v>3</c:v>
                </c:pt>
                <c:pt idx="137">
                  <c:v>3</c:v>
                </c:pt>
                <c:pt idx="138">
                  <c:v>2</c:v>
                </c:pt>
                <c:pt idx="139">
                  <c:v>1</c:v>
                </c:pt>
                <c:pt idx="140">
                  <c:v>3</c:v>
                </c:pt>
                <c:pt idx="141">
                  <c:v>5</c:v>
                </c:pt>
                <c:pt idx="142">
                  <c:v>4</c:v>
                </c:pt>
                <c:pt idx="143">
                  <c:v>5</c:v>
                </c:pt>
                <c:pt idx="144">
                  <c:v>3</c:v>
                </c:pt>
                <c:pt idx="145">
                  <c:v>5</c:v>
                </c:pt>
                <c:pt idx="146">
                  <c:v>2</c:v>
                </c:pt>
                <c:pt idx="147">
                  <c:v>4</c:v>
                </c:pt>
                <c:pt idx="148">
                  <c:v>1</c:v>
                </c:pt>
                <c:pt idx="149">
                  <c:v>3</c:v>
                </c:pt>
                <c:pt idx="150">
                  <c:v>5</c:v>
                </c:pt>
                <c:pt idx="151">
                  <c:v>2</c:v>
                </c:pt>
                <c:pt idx="152">
                  <c:v>3</c:v>
                </c:pt>
                <c:pt idx="153">
                  <c:v>5</c:v>
                </c:pt>
                <c:pt idx="154">
                  <c:v>2</c:v>
                </c:pt>
                <c:pt idx="155">
                  <c:v>5</c:v>
                </c:pt>
                <c:pt idx="156">
                  <c:v>4</c:v>
                </c:pt>
                <c:pt idx="157">
                  <c:v>4</c:v>
                </c:pt>
                <c:pt idx="158">
                  <c:v>2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2</c:v>
                </c:pt>
                <c:pt idx="163">
                  <c:v>1</c:v>
                </c:pt>
                <c:pt idx="164">
                  <c:v>2</c:v>
                </c:pt>
                <c:pt idx="165">
                  <c:v>2</c:v>
                </c:pt>
                <c:pt idx="166">
                  <c:v>1</c:v>
                </c:pt>
                <c:pt idx="167">
                  <c:v>5</c:v>
                </c:pt>
                <c:pt idx="168">
                  <c:v>2</c:v>
                </c:pt>
                <c:pt idx="169">
                  <c:v>2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4</c:v>
                </c:pt>
                <c:pt idx="174">
                  <c:v>1</c:v>
                </c:pt>
                <c:pt idx="175">
                  <c:v>5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5</c:v>
                </c:pt>
                <c:pt idx="180">
                  <c:v>3</c:v>
                </c:pt>
                <c:pt idx="181">
                  <c:v>3</c:v>
                </c:pt>
                <c:pt idx="182">
                  <c:v>5</c:v>
                </c:pt>
                <c:pt idx="183">
                  <c:v>5</c:v>
                </c:pt>
                <c:pt idx="184">
                  <c:v>4</c:v>
                </c:pt>
                <c:pt idx="185">
                  <c:v>3</c:v>
                </c:pt>
                <c:pt idx="186">
                  <c:v>1</c:v>
                </c:pt>
                <c:pt idx="187">
                  <c:v>1</c:v>
                </c:pt>
                <c:pt idx="188">
                  <c:v>4</c:v>
                </c:pt>
                <c:pt idx="189">
                  <c:v>2</c:v>
                </c:pt>
                <c:pt idx="190">
                  <c:v>3</c:v>
                </c:pt>
                <c:pt idx="191">
                  <c:v>4</c:v>
                </c:pt>
                <c:pt idx="192">
                  <c:v>5</c:v>
                </c:pt>
                <c:pt idx="193">
                  <c:v>3</c:v>
                </c:pt>
                <c:pt idx="194">
                  <c:v>5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3</c:v>
                </c:pt>
                <c:pt idx="199">
                  <c:v>2</c:v>
                </c:pt>
                <c:pt idx="200">
                  <c:v>4</c:v>
                </c:pt>
                <c:pt idx="201">
                  <c:v>2</c:v>
                </c:pt>
                <c:pt idx="202">
                  <c:v>3</c:v>
                </c:pt>
                <c:pt idx="203">
                  <c:v>1</c:v>
                </c:pt>
                <c:pt idx="204">
                  <c:v>3</c:v>
                </c:pt>
                <c:pt idx="205">
                  <c:v>5</c:v>
                </c:pt>
                <c:pt idx="206">
                  <c:v>5</c:v>
                </c:pt>
                <c:pt idx="207">
                  <c:v>3</c:v>
                </c:pt>
                <c:pt idx="208">
                  <c:v>3</c:v>
                </c:pt>
                <c:pt idx="209">
                  <c:v>2</c:v>
                </c:pt>
                <c:pt idx="210">
                  <c:v>2</c:v>
                </c:pt>
                <c:pt idx="211">
                  <c:v>5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5</c:v>
                </c:pt>
                <c:pt idx="216">
                  <c:v>1</c:v>
                </c:pt>
                <c:pt idx="217">
                  <c:v>1</c:v>
                </c:pt>
                <c:pt idx="218">
                  <c:v>4</c:v>
                </c:pt>
                <c:pt idx="219">
                  <c:v>5</c:v>
                </c:pt>
                <c:pt idx="220">
                  <c:v>2</c:v>
                </c:pt>
                <c:pt idx="221">
                  <c:v>4</c:v>
                </c:pt>
                <c:pt idx="222">
                  <c:v>2</c:v>
                </c:pt>
                <c:pt idx="223">
                  <c:v>2</c:v>
                </c:pt>
                <c:pt idx="224">
                  <c:v>5</c:v>
                </c:pt>
                <c:pt idx="225">
                  <c:v>5</c:v>
                </c:pt>
                <c:pt idx="226">
                  <c:v>2</c:v>
                </c:pt>
                <c:pt idx="227">
                  <c:v>5</c:v>
                </c:pt>
                <c:pt idx="228">
                  <c:v>2</c:v>
                </c:pt>
                <c:pt idx="229">
                  <c:v>5</c:v>
                </c:pt>
                <c:pt idx="230">
                  <c:v>4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4</c:v>
                </c:pt>
                <c:pt idx="238">
                  <c:v>4</c:v>
                </c:pt>
                <c:pt idx="239">
                  <c:v>5</c:v>
                </c:pt>
                <c:pt idx="240">
                  <c:v>3</c:v>
                </c:pt>
                <c:pt idx="241">
                  <c:v>2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1</c:v>
                </c:pt>
                <c:pt idx="246">
                  <c:v>3</c:v>
                </c:pt>
                <c:pt idx="247">
                  <c:v>2</c:v>
                </c:pt>
                <c:pt idx="248">
                  <c:v>3</c:v>
                </c:pt>
              </c:numCache>
            </c:numRef>
          </c:xVal>
          <c:yVal>
            <c:numRef>
              <c:f>'raw data'!$N$3:$N$251</c:f>
              <c:numCache>
                <c:formatCode>General</c:formatCode>
                <c:ptCount val="249"/>
                <c:pt idx="0">
                  <c:v>749.97</c:v>
                </c:pt>
                <c:pt idx="1">
                  <c:v>179.97</c:v>
                </c:pt>
                <c:pt idx="2">
                  <c:v>179.97</c:v>
                </c:pt>
                <c:pt idx="3">
                  <c:v>749.95</c:v>
                </c:pt>
                <c:pt idx="4">
                  <c:v>119.98</c:v>
                </c:pt>
                <c:pt idx="5">
                  <c:v>749.95</c:v>
                </c:pt>
                <c:pt idx="6">
                  <c:v>179.97</c:v>
                </c:pt>
                <c:pt idx="7">
                  <c:v>2699.97</c:v>
                </c:pt>
                <c:pt idx="8">
                  <c:v>179.97</c:v>
                </c:pt>
                <c:pt idx="9">
                  <c:v>149.99</c:v>
                </c:pt>
                <c:pt idx="10">
                  <c:v>749.95</c:v>
                </c:pt>
                <c:pt idx="11">
                  <c:v>449.97</c:v>
                </c:pt>
                <c:pt idx="12">
                  <c:v>179.97</c:v>
                </c:pt>
                <c:pt idx="13">
                  <c:v>2099.9699999999998</c:v>
                </c:pt>
                <c:pt idx="14">
                  <c:v>899.99</c:v>
                </c:pt>
                <c:pt idx="15">
                  <c:v>599.96</c:v>
                </c:pt>
                <c:pt idx="16">
                  <c:v>1399.98</c:v>
                </c:pt>
                <c:pt idx="17">
                  <c:v>3599.96</c:v>
                </c:pt>
                <c:pt idx="18">
                  <c:v>749.97</c:v>
                </c:pt>
                <c:pt idx="19">
                  <c:v>3499.95</c:v>
                </c:pt>
                <c:pt idx="20">
                  <c:v>2799.96</c:v>
                </c:pt>
                <c:pt idx="21">
                  <c:v>999.96</c:v>
                </c:pt>
                <c:pt idx="22">
                  <c:v>1199.96</c:v>
                </c:pt>
                <c:pt idx="23">
                  <c:v>1249.95</c:v>
                </c:pt>
                <c:pt idx="24">
                  <c:v>1499.95</c:v>
                </c:pt>
                <c:pt idx="25">
                  <c:v>239.97</c:v>
                </c:pt>
                <c:pt idx="26">
                  <c:v>449.95</c:v>
                </c:pt>
                <c:pt idx="27">
                  <c:v>119.98</c:v>
                </c:pt>
                <c:pt idx="28">
                  <c:v>239.96</c:v>
                </c:pt>
                <c:pt idx="29">
                  <c:v>999.95</c:v>
                </c:pt>
                <c:pt idx="30">
                  <c:v>299.98</c:v>
                </c:pt>
                <c:pt idx="31">
                  <c:v>449.97</c:v>
                </c:pt>
                <c:pt idx="32">
                  <c:v>899.99</c:v>
                </c:pt>
                <c:pt idx="33">
                  <c:v>899.97</c:v>
                </c:pt>
                <c:pt idx="34">
                  <c:v>239.97</c:v>
                </c:pt>
                <c:pt idx="35">
                  <c:v>599.97</c:v>
                </c:pt>
                <c:pt idx="36">
                  <c:v>3499.95</c:v>
                </c:pt>
                <c:pt idx="37">
                  <c:v>269.97000000000003</c:v>
                </c:pt>
                <c:pt idx="38">
                  <c:v>79.989999999999995</c:v>
                </c:pt>
                <c:pt idx="39">
                  <c:v>119.98</c:v>
                </c:pt>
                <c:pt idx="40">
                  <c:v>89.99</c:v>
                </c:pt>
                <c:pt idx="41">
                  <c:v>449.95</c:v>
                </c:pt>
                <c:pt idx="42">
                  <c:v>1249.95</c:v>
                </c:pt>
                <c:pt idx="43">
                  <c:v>89.99</c:v>
                </c:pt>
                <c:pt idx="44">
                  <c:v>299.98</c:v>
                </c:pt>
                <c:pt idx="45">
                  <c:v>239.96</c:v>
                </c:pt>
                <c:pt idx="46">
                  <c:v>449.95</c:v>
                </c:pt>
                <c:pt idx="47">
                  <c:v>179.98</c:v>
                </c:pt>
                <c:pt idx="48">
                  <c:v>4499.95</c:v>
                </c:pt>
                <c:pt idx="49">
                  <c:v>4499.95</c:v>
                </c:pt>
                <c:pt idx="50">
                  <c:v>59.99</c:v>
                </c:pt>
                <c:pt idx="51">
                  <c:v>599.98</c:v>
                </c:pt>
                <c:pt idx="52">
                  <c:v>359.96</c:v>
                </c:pt>
                <c:pt idx="53">
                  <c:v>79.989999999999995</c:v>
                </c:pt>
                <c:pt idx="54">
                  <c:v>179.98</c:v>
                </c:pt>
                <c:pt idx="55">
                  <c:v>2099.9699999999998</c:v>
                </c:pt>
                <c:pt idx="56">
                  <c:v>3599.96</c:v>
                </c:pt>
                <c:pt idx="57">
                  <c:v>149.99</c:v>
                </c:pt>
                <c:pt idx="58">
                  <c:v>179.98</c:v>
                </c:pt>
                <c:pt idx="59">
                  <c:v>89.99</c:v>
                </c:pt>
                <c:pt idx="60">
                  <c:v>89.99</c:v>
                </c:pt>
                <c:pt idx="61">
                  <c:v>399.95</c:v>
                </c:pt>
                <c:pt idx="62">
                  <c:v>149.99</c:v>
                </c:pt>
                <c:pt idx="63">
                  <c:v>1399.98</c:v>
                </c:pt>
                <c:pt idx="64">
                  <c:v>449.95</c:v>
                </c:pt>
                <c:pt idx="65">
                  <c:v>239.96</c:v>
                </c:pt>
                <c:pt idx="66">
                  <c:v>149.99</c:v>
                </c:pt>
                <c:pt idx="67">
                  <c:v>299.99</c:v>
                </c:pt>
                <c:pt idx="68">
                  <c:v>399.98</c:v>
                </c:pt>
                <c:pt idx="69">
                  <c:v>179.97</c:v>
                </c:pt>
                <c:pt idx="70">
                  <c:v>449.97</c:v>
                </c:pt>
                <c:pt idx="71">
                  <c:v>599.97</c:v>
                </c:pt>
                <c:pt idx="72">
                  <c:v>899.99</c:v>
                </c:pt>
                <c:pt idx="73">
                  <c:v>4499.95</c:v>
                </c:pt>
                <c:pt idx="74">
                  <c:v>119.98</c:v>
                </c:pt>
                <c:pt idx="75">
                  <c:v>999.96</c:v>
                </c:pt>
                <c:pt idx="76">
                  <c:v>499.98</c:v>
                </c:pt>
                <c:pt idx="77">
                  <c:v>299.99</c:v>
                </c:pt>
                <c:pt idx="78">
                  <c:v>179.98</c:v>
                </c:pt>
                <c:pt idx="79">
                  <c:v>899.97</c:v>
                </c:pt>
                <c:pt idx="80">
                  <c:v>1399.98</c:v>
                </c:pt>
                <c:pt idx="81">
                  <c:v>3599.96</c:v>
                </c:pt>
                <c:pt idx="82">
                  <c:v>299.98</c:v>
                </c:pt>
                <c:pt idx="83">
                  <c:v>299.98</c:v>
                </c:pt>
                <c:pt idx="84">
                  <c:v>89.99</c:v>
                </c:pt>
                <c:pt idx="85">
                  <c:v>1499.95</c:v>
                </c:pt>
                <c:pt idx="86">
                  <c:v>599.96</c:v>
                </c:pt>
                <c:pt idx="87">
                  <c:v>1249.95</c:v>
                </c:pt>
                <c:pt idx="88">
                  <c:v>749.97</c:v>
                </c:pt>
                <c:pt idx="89">
                  <c:v>799.96</c:v>
                </c:pt>
                <c:pt idx="90">
                  <c:v>999.95</c:v>
                </c:pt>
                <c:pt idx="91">
                  <c:v>179.98</c:v>
                </c:pt>
                <c:pt idx="92">
                  <c:v>4499.95</c:v>
                </c:pt>
                <c:pt idx="93">
                  <c:v>449.97</c:v>
                </c:pt>
                <c:pt idx="94">
                  <c:v>749.95</c:v>
                </c:pt>
                <c:pt idx="95">
                  <c:v>239.97</c:v>
                </c:pt>
                <c:pt idx="96">
                  <c:v>499.98</c:v>
                </c:pt>
                <c:pt idx="97">
                  <c:v>699.99</c:v>
                </c:pt>
                <c:pt idx="98">
                  <c:v>449.97</c:v>
                </c:pt>
                <c:pt idx="99">
                  <c:v>1399.98</c:v>
                </c:pt>
                <c:pt idx="100">
                  <c:v>249.99</c:v>
                </c:pt>
                <c:pt idx="101">
                  <c:v>249.99</c:v>
                </c:pt>
                <c:pt idx="102">
                  <c:v>1399.98</c:v>
                </c:pt>
                <c:pt idx="103">
                  <c:v>179.97</c:v>
                </c:pt>
                <c:pt idx="104">
                  <c:v>179.97</c:v>
                </c:pt>
                <c:pt idx="105">
                  <c:v>319.95999999999998</c:v>
                </c:pt>
                <c:pt idx="106">
                  <c:v>79.989999999999995</c:v>
                </c:pt>
                <c:pt idx="107">
                  <c:v>899.97</c:v>
                </c:pt>
                <c:pt idx="108">
                  <c:v>179.98</c:v>
                </c:pt>
                <c:pt idx="109">
                  <c:v>599.96</c:v>
                </c:pt>
                <c:pt idx="110">
                  <c:v>499.98</c:v>
                </c:pt>
                <c:pt idx="111">
                  <c:v>799.96</c:v>
                </c:pt>
                <c:pt idx="112">
                  <c:v>449.95</c:v>
                </c:pt>
                <c:pt idx="113">
                  <c:v>149.99</c:v>
                </c:pt>
                <c:pt idx="114">
                  <c:v>2799.96</c:v>
                </c:pt>
                <c:pt idx="115">
                  <c:v>2699.97</c:v>
                </c:pt>
                <c:pt idx="116">
                  <c:v>449.97</c:v>
                </c:pt>
                <c:pt idx="117">
                  <c:v>599.98</c:v>
                </c:pt>
                <c:pt idx="118">
                  <c:v>199.99</c:v>
                </c:pt>
                <c:pt idx="119">
                  <c:v>1199.96</c:v>
                </c:pt>
                <c:pt idx="120">
                  <c:v>119.98</c:v>
                </c:pt>
                <c:pt idx="121">
                  <c:v>599.96</c:v>
                </c:pt>
                <c:pt idx="122">
                  <c:v>1399.98</c:v>
                </c:pt>
                <c:pt idx="123">
                  <c:v>449.97</c:v>
                </c:pt>
                <c:pt idx="124">
                  <c:v>899.97</c:v>
                </c:pt>
                <c:pt idx="125">
                  <c:v>2699.97</c:v>
                </c:pt>
                <c:pt idx="126">
                  <c:v>3499.95</c:v>
                </c:pt>
                <c:pt idx="127">
                  <c:v>2799.96</c:v>
                </c:pt>
                <c:pt idx="128">
                  <c:v>899.99</c:v>
                </c:pt>
                <c:pt idx="129">
                  <c:v>299.98</c:v>
                </c:pt>
                <c:pt idx="130">
                  <c:v>269.97000000000003</c:v>
                </c:pt>
                <c:pt idx="131">
                  <c:v>299.98</c:v>
                </c:pt>
                <c:pt idx="132">
                  <c:v>1399.98</c:v>
                </c:pt>
                <c:pt idx="133">
                  <c:v>3499.95</c:v>
                </c:pt>
                <c:pt idx="134">
                  <c:v>269.97000000000003</c:v>
                </c:pt>
                <c:pt idx="135">
                  <c:v>1249.95</c:v>
                </c:pt>
                <c:pt idx="136">
                  <c:v>899.97</c:v>
                </c:pt>
                <c:pt idx="137">
                  <c:v>269.97000000000003</c:v>
                </c:pt>
                <c:pt idx="138">
                  <c:v>299.98</c:v>
                </c:pt>
                <c:pt idx="139">
                  <c:v>249.99</c:v>
                </c:pt>
                <c:pt idx="140">
                  <c:v>449.97</c:v>
                </c:pt>
                <c:pt idx="141">
                  <c:v>299.95</c:v>
                </c:pt>
                <c:pt idx="142">
                  <c:v>999.96</c:v>
                </c:pt>
                <c:pt idx="143">
                  <c:v>749.95</c:v>
                </c:pt>
                <c:pt idx="144">
                  <c:v>179.97</c:v>
                </c:pt>
                <c:pt idx="145">
                  <c:v>749.95</c:v>
                </c:pt>
                <c:pt idx="146">
                  <c:v>1399.98</c:v>
                </c:pt>
                <c:pt idx="147">
                  <c:v>799.96</c:v>
                </c:pt>
                <c:pt idx="148">
                  <c:v>59.99</c:v>
                </c:pt>
                <c:pt idx="149">
                  <c:v>2099.9699999999998</c:v>
                </c:pt>
                <c:pt idx="150">
                  <c:v>1249.95</c:v>
                </c:pt>
                <c:pt idx="151">
                  <c:v>299.98</c:v>
                </c:pt>
                <c:pt idx="152">
                  <c:v>899.97</c:v>
                </c:pt>
                <c:pt idx="153">
                  <c:v>1249.95</c:v>
                </c:pt>
                <c:pt idx="154">
                  <c:v>299.98</c:v>
                </c:pt>
                <c:pt idx="155">
                  <c:v>3499.95</c:v>
                </c:pt>
                <c:pt idx="156">
                  <c:v>999.96</c:v>
                </c:pt>
                <c:pt idx="157">
                  <c:v>2799.96</c:v>
                </c:pt>
                <c:pt idx="158">
                  <c:v>499.98</c:v>
                </c:pt>
                <c:pt idx="159">
                  <c:v>179.97</c:v>
                </c:pt>
                <c:pt idx="160">
                  <c:v>319.95999999999998</c:v>
                </c:pt>
                <c:pt idx="161">
                  <c:v>239.97</c:v>
                </c:pt>
                <c:pt idx="162">
                  <c:v>1799.98</c:v>
                </c:pt>
                <c:pt idx="163">
                  <c:v>149.99</c:v>
                </c:pt>
                <c:pt idx="164">
                  <c:v>599.98</c:v>
                </c:pt>
                <c:pt idx="165">
                  <c:v>119.98</c:v>
                </c:pt>
                <c:pt idx="166">
                  <c:v>89.99</c:v>
                </c:pt>
                <c:pt idx="167">
                  <c:v>4499.95</c:v>
                </c:pt>
                <c:pt idx="168">
                  <c:v>299.98</c:v>
                </c:pt>
                <c:pt idx="169">
                  <c:v>299.98</c:v>
                </c:pt>
                <c:pt idx="170">
                  <c:v>449.97</c:v>
                </c:pt>
                <c:pt idx="171">
                  <c:v>599.98</c:v>
                </c:pt>
                <c:pt idx="172">
                  <c:v>599.98</c:v>
                </c:pt>
                <c:pt idx="173">
                  <c:v>799.96</c:v>
                </c:pt>
                <c:pt idx="174">
                  <c:v>89.99</c:v>
                </c:pt>
                <c:pt idx="175">
                  <c:v>749.95</c:v>
                </c:pt>
                <c:pt idx="176">
                  <c:v>899.99</c:v>
                </c:pt>
                <c:pt idx="177">
                  <c:v>179.98</c:v>
                </c:pt>
                <c:pt idx="178">
                  <c:v>899.99</c:v>
                </c:pt>
                <c:pt idx="179">
                  <c:v>749.95</c:v>
                </c:pt>
                <c:pt idx="180">
                  <c:v>899.97</c:v>
                </c:pt>
                <c:pt idx="181">
                  <c:v>2099.9699999999998</c:v>
                </c:pt>
                <c:pt idx="182">
                  <c:v>999.95</c:v>
                </c:pt>
                <c:pt idx="183">
                  <c:v>1249.95</c:v>
                </c:pt>
                <c:pt idx="184">
                  <c:v>599.96</c:v>
                </c:pt>
                <c:pt idx="185">
                  <c:v>2099.9699999999998</c:v>
                </c:pt>
                <c:pt idx="186">
                  <c:v>79.989999999999995</c:v>
                </c:pt>
                <c:pt idx="187">
                  <c:v>299.99</c:v>
                </c:pt>
                <c:pt idx="188">
                  <c:v>999.96</c:v>
                </c:pt>
                <c:pt idx="189">
                  <c:v>299.98</c:v>
                </c:pt>
                <c:pt idx="190">
                  <c:v>899.97</c:v>
                </c:pt>
                <c:pt idx="191">
                  <c:v>799.96</c:v>
                </c:pt>
                <c:pt idx="192">
                  <c:v>1499.95</c:v>
                </c:pt>
                <c:pt idx="193">
                  <c:v>449.97</c:v>
                </c:pt>
                <c:pt idx="194">
                  <c:v>299.95</c:v>
                </c:pt>
                <c:pt idx="195">
                  <c:v>239.96</c:v>
                </c:pt>
                <c:pt idx="196">
                  <c:v>999.96</c:v>
                </c:pt>
                <c:pt idx="197">
                  <c:v>3599.96</c:v>
                </c:pt>
                <c:pt idx="198">
                  <c:v>899.97</c:v>
                </c:pt>
                <c:pt idx="199">
                  <c:v>1399.98</c:v>
                </c:pt>
                <c:pt idx="200">
                  <c:v>2799.96</c:v>
                </c:pt>
                <c:pt idx="201">
                  <c:v>179.98</c:v>
                </c:pt>
                <c:pt idx="202">
                  <c:v>269.97000000000003</c:v>
                </c:pt>
                <c:pt idx="203">
                  <c:v>59.99</c:v>
                </c:pt>
                <c:pt idx="204">
                  <c:v>449.97</c:v>
                </c:pt>
                <c:pt idx="205">
                  <c:v>1499.95</c:v>
                </c:pt>
                <c:pt idx="206">
                  <c:v>299.95</c:v>
                </c:pt>
                <c:pt idx="207">
                  <c:v>239.97</c:v>
                </c:pt>
                <c:pt idx="208">
                  <c:v>599.97</c:v>
                </c:pt>
                <c:pt idx="209">
                  <c:v>179.98</c:v>
                </c:pt>
                <c:pt idx="210">
                  <c:v>299.98</c:v>
                </c:pt>
                <c:pt idx="211">
                  <c:v>3499.95</c:v>
                </c:pt>
                <c:pt idx="212">
                  <c:v>449.97</c:v>
                </c:pt>
                <c:pt idx="213">
                  <c:v>2699.97</c:v>
                </c:pt>
                <c:pt idx="214">
                  <c:v>599.97</c:v>
                </c:pt>
                <c:pt idx="215">
                  <c:v>1499.95</c:v>
                </c:pt>
                <c:pt idx="216">
                  <c:v>699.99</c:v>
                </c:pt>
                <c:pt idx="217">
                  <c:v>699.99</c:v>
                </c:pt>
                <c:pt idx="218">
                  <c:v>599.96</c:v>
                </c:pt>
                <c:pt idx="219">
                  <c:v>449.95</c:v>
                </c:pt>
                <c:pt idx="220">
                  <c:v>399.98</c:v>
                </c:pt>
                <c:pt idx="221">
                  <c:v>239.96</c:v>
                </c:pt>
                <c:pt idx="222">
                  <c:v>599.98</c:v>
                </c:pt>
                <c:pt idx="223">
                  <c:v>299.98</c:v>
                </c:pt>
                <c:pt idx="224">
                  <c:v>3499.95</c:v>
                </c:pt>
                <c:pt idx="225">
                  <c:v>299.95</c:v>
                </c:pt>
                <c:pt idx="226">
                  <c:v>179.98</c:v>
                </c:pt>
                <c:pt idx="227">
                  <c:v>1249.95</c:v>
                </c:pt>
                <c:pt idx="228">
                  <c:v>299.98</c:v>
                </c:pt>
                <c:pt idx="229">
                  <c:v>4499.95</c:v>
                </c:pt>
                <c:pt idx="230">
                  <c:v>599.96</c:v>
                </c:pt>
                <c:pt idx="231">
                  <c:v>249.99</c:v>
                </c:pt>
                <c:pt idx="232">
                  <c:v>119.98</c:v>
                </c:pt>
                <c:pt idx="233">
                  <c:v>299.98</c:v>
                </c:pt>
                <c:pt idx="234">
                  <c:v>2699.97</c:v>
                </c:pt>
                <c:pt idx="235">
                  <c:v>2699.97</c:v>
                </c:pt>
                <c:pt idx="236">
                  <c:v>899.97</c:v>
                </c:pt>
                <c:pt idx="237">
                  <c:v>599.96</c:v>
                </c:pt>
                <c:pt idx="238">
                  <c:v>319.95999999999998</c:v>
                </c:pt>
                <c:pt idx="239">
                  <c:v>449.95</c:v>
                </c:pt>
                <c:pt idx="240">
                  <c:v>449.97</c:v>
                </c:pt>
                <c:pt idx="241">
                  <c:v>179.98</c:v>
                </c:pt>
                <c:pt idx="242">
                  <c:v>1399.98</c:v>
                </c:pt>
                <c:pt idx="243">
                  <c:v>2699.97</c:v>
                </c:pt>
                <c:pt idx="244">
                  <c:v>239.97</c:v>
                </c:pt>
                <c:pt idx="245">
                  <c:v>89.99</c:v>
                </c:pt>
                <c:pt idx="246">
                  <c:v>2099.9699999999998</c:v>
                </c:pt>
                <c:pt idx="247">
                  <c:v>179.98</c:v>
                </c:pt>
                <c:pt idx="248">
                  <c:v>269.97000000000003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3B-4E82-B512-B63E6B0A177A}"/>
            </c:ext>
          </c:extLst>
        </c:ser>
        <c:ser>
          <c:idx val="1"/>
          <c:order val="1"/>
          <c:tx>
            <c:v>Predicted 749.97</c:v>
          </c:tx>
          <c:spPr>
            <a:ln w="19050">
              <a:noFill/>
            </a:ln>
          </c:spPr>
          <c:xVal>
            <c:numRef>
              <c:f>'raw data'!$H$3:$H$251</c:f>
              <c:numCache>
                <c:formatCode>General</c:formatCode>
                <c:ptCount val="24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5</c:v>
                </c:pt>
                <c:pt idx="27">
                  <c:v>2</c:v>
                </c:pt>
                <c:pt idx="28">
                  <c:v>4</c:v>
                </c:pt>
                <c:pt idx="29">
                  <c:v>5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5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5</c:v>
                </c:pt>
                <c:pt idx="42">
                  <c:v>5</c:v>
                </c:pt>
                <c:pt idx="43">
                  <c:v>1</c:v>
                </c:pt>
                <c:pt idx="44">
                  <c:v>2</c:v>
                </c:pt>
                <c:pt idx="45">
                  <c:v>4</c:v>
                </c:pt>
                <c:pt idx="46">
                  <c:v>5</c:v>
                </c:pt>
                <c:pt idx="47">
                  <c:v>2</c:v>
                </c:pt>
                <c:pt idx="48">
                  <c:v>5</c:v>
                </c:pt>
                <c:pt idx="49">
                  <c:v>5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1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5</c:v>
                </c:pt>
                <c:pt idx="62">
                  <c:v>1</c:v>
                </c:pt>
                <c:pt idx="63">
                  <c:v>2</c:v>
                </c:pt>
                <c:pt idx="64">
                  <c:v>5</c:v>
                </c:pt>
                <c:pt idx="65">
                  <c:v>4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1</c:v>
                </c:pt>
                <c:pt idx="73">
                  <c:v>5</c:v>
                </c:pt>
                <c:pt idx="74">
                  <c:v>2</c:v>
                </c:pt>
                <c:pt idx="75">
                  <c:v>4</c:v>
                </c:pt>
                <c:pt idx="76">
                  <c:v>2</c:v>
                </c:pt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2</c:v>
                </c:pt>
                <c:pt idx="81">
                  <c:v>4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5</c:v>
                </c:pt>
                <c:pt idx="86">
                  <c:v>4</c:v>
                </c:pt>
                <c:pt idx="87">
                  <c:v>5</c:v>
                </c:pt>
                <c:pt idx="88">
                  <c:v>3</c:v>
                </c:pt>
                <c:pt idx="89">
                  <c:v>4</c:v>
                </c:pt>
                <c:pt idx="90">
                  <c:v>5</c:v>
                </c:pt>
                <c:pt idx="91">
                  <c:v>2</c:v>
                </c:pt>
                <c:pt idx="92">
                  <c:v>5</c:v>
                </c:pt>
                <c:pt idx="93">
                  <c:v>3</c:v>
                </c:pt>
                <c:pt idx="94">
                  <c:v>5</c:v>
                </c:pt>
                <c:pt idx="95">
                  <c:v>3</c:v>
                </c:pt>
                <c:pt idx="96">
                  <c:v>2</c:v>
                </c:pt>
                <c:pt idx="97">
                  <c:v>1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1</c:v>
                </c:pt>
                <c:pt idx="107">
                  <c:v>3</c:v>
                </c:pt>
                <c:pt idx="108">
                  <c:v>2</c:v>
                </c:pt>
                <c:pt idx="109">
                  <c:v>4</c:v>
                </c:pt>
                <c:pt idx="110">
                  <c:v>2</c:v>
                </c:pt>
                <c:pt idx="111">
                  <c:v>4</c:v>
                </c:pt>
                <c:pt idx="112">
                  <c:v>5</c:v>
                </c:pt>
                <c:pt idx="113">
                  <c:v>1</c:v>
                </c:pt>
                <c:pt idx="114">
                  <c:v>4</c:v>
                </c:pt>
                <c:pt idx="115">
                  <c:v>3</c:v>
                </c:pt>
                <c:pt idx="116">
                  <c:v>3</c:v>
                </c:pt>
                <c:pt idx="117">
                  <c:v>2</c:v>
                </c:pt>
                <c:pt idx="118">
                  <c:v>1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5</c:v>
                </c:pt>
                <c:pt idx="127">
                  <c:v>4</c:v>
                </c:pt>
                <c:pt idx="128">
                  <c:v>1</c:v>
                </c:pt>
                <c:pt idx="129">
                  <c:v>2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5</c:v>
                </c:pt>
                <c:pt idx="134">
                  <c:v>3</c:v>
                </c:pt>
                <c:pt idx="135">
                  <c:v>5</c:v>
                </c:pt>
                <c:pt idx="136">
                  <c:v>3</c:v>
                </c:pt>
                <c:pt idx="137">
                  <c:v>3</c:v>
                </c:pt>
                <c:pt idx="138">
                  <c:v>2</c:v>
                </c:pt>
                <c:pt idx="139">
                  <c:v>1</c:v>
                </c:pt>
                <c:pt idx="140">
                  <c:v>3</c:v>
                </c:pt>
                <c:pt idx="141">
                  <c:v>5</c:v>
                </c:pt>
                <c:pt idx="142">
                  <c:v>4</c:v>
                </c:pt>
                <c:pt idx="143">
                  <c:v>5</c:v>
                </c:pt>
                <c:pt idx="144">
                  <c:v>3</c:v>
                </c:pt>
                <c:pt idx="145">
                  <c:v>5</c:v>
                </c:pt>
                <c:pt idx="146">
                  <c:v>2</c:v>
                </c:pt>
                <c:pt idx="147">
                  <c:v>4</c:v>
                </c:pt>
                <c:pt idx="148">
                  <c:v>1</c:v>
                </c:pt>
                <c:pt idx="149">
                  <c:v>3</c:v>
                </c:pt>
                <c:pt idx="150">
                  <c:v>5</c:v>
                </c:pt>
                <c:pt idx="151">
                  <c:v>2</c:v>
                </c:pt>
                <c:pt idx="152">
                  <c:v>3</c:v>
                </c:pt>
                <c:pt idx="153">
                  <c:v>5</c:v>
                </c:pt>
                <c:pt idx="154">
                  <c:v>2</c:v>
                </c:pt>
                <c:pt idx="155">
                  <c:v>5</c:v>
                </c:pt>
                <c:pt idx="156">
                  <c:v>4</c:v>
                </c:pt>
                <c:pt idx="157">
                  <c:v>4</c:v>
                </c:pt>
                <c:pt idx="158">
                  <c:v>2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2</c:v>
                </c:pt>
                <c:pt idx="163">
                  <c:v>1</c:v>
                </c:pt>
                <c:pt idx="164">
                  <c:v>2</c:v>
                </c:pt>
                <c:pt idx="165">
                  <c:v>2</c:v>
                </c:pt>
                <c:pt idx="166">
                  <c:v>1</c:v>
                </c:pt>
                <c:pt idx="167">
                  <c:v>5</c:v>
                </c:pt>
                <c:pt idx="168">
                  <c:v>2</c:v>
                </c:pt>
                <c:pt idx="169">
                  <c:v>2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4</c:v>
                </c:pt>
                <c:pt idx="174">
                  <c:v>1</c:v>
                </c:pt>
                <c:pt idx="175">
                  <c:v>5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5</c:v>
                </c:pt>
                <c:pt idx="180">
                  <c:v>3</c:v>
                </c:pt>
                <c:pt idx="181">
                  <c:v>3</c:v>
                </c:pt>
                <c:pt idx="182">
                  <c:v>5</c:v>
                </c:pt>
                <c:pt idx="183">
                  <c:v>5</c:v>
                </c:pt>
                <c:pt idx="184">
                  <c:v>4</c:v>
                </c:pt>
                <c:pt idx="185">
                  <c:v>3</c:v>
                </c:pt>
                <c:pt idx="186">
                  <c:v>1</c:v>
                </c:pt>
                <c:pt idx="187">
                  <c:v>1</c:v>
                </c:pt>
                <c:pt idx="188">
                  <c:v>4</c:v>
                </c:pt>
                <c:pt idx="189">
                  <c:v>2</c:v>
                </c:pt>
                <c:pt idx="190">
                  <c:v>3</c:v>
                </c:pt>
                <c:pt idx="191">
                  <c:v>4</c:v>
                </c:pt>
                <c:pt idx="192">
                  <c:v>5</c:v>
                </c:pt>
                <c:pt idx="193">
                  <c:v>3</c:v>
                </c:pt>
                <c:pt idx="194">
                  <c:v>5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3</c:v>
                </c:pt>
                <c:pt idx="199">
                  <c:v>2</c:v>
                </c:pt>
                <c:pt idx="200">
                  <c:v>4</c:v>
                </c:pt>
                <c:pt idx="201">
                  <c:v>2</c:v>
                </c:pt>
                <c:pt idx="202">
                  <c:v>3</c:v>
                </c:pt>
                <c:pt idx="203">
                  <c:v>1</c:v>
                </c:pt>
                <c:pt idx="204">
                  <c:v>3</c:v>
                </c:pt>
                <c:pt idx="205">
                  <c:v>5</c:v>
                </c:pt>
                <c:pt idx="206">
                  <c:v>5</c:v>
                </c:pt>
                <c:pt idx="207">
                  <c:v>3</c:v>
                </c:pt>
                <c:pt idx="208">
                  <c:v>3</c:v>
                </c:pt>
                <c:pt idx="209">
                  <c:v>2</c:v>
                </c:pt>
                <c:pt idx="210">
                  <c:v>2</c:v>
                </c:pt>
                <c:pt idx="211">
                  <c:v>5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5</c:v>
                </c:pt>
                <c:pt idx="216">
                  <c:v>1</c:v>
                </c:pt>
                <c:pt idx="217">
                  <c:v>1</c:v>
                </c:pt>
                <c:pt idx="218">
                  <c:v>4</c:v>
                </c:pt>
                <c:pt idx="219">
                  <c:v>5</c:v>
                </c:pt>
                <c:pt idx="220">
                  <c:v>2</c:v>
                </c:pt>
                <c:pt idx="221">
                  <c:v>4</c:v>
                </c:pt>
                <c:pt idx="222">
                  <c:v>2</c:v>
                </c:pt>
                <c:pt idx="223">
                  <c:v>2</c:v>
                </c:pt>
                <c:pt idx="224">
                  <c:v>5</c:v>
                </c:pt>
                <c:pt idx="225">
                  <c:v>5</c:v>
                </c:pt>
                <c:pt idx="226">
                  <c:v>2</c:v>
                </c:pt>
                <c:pt idx="227">
                  <c:v>5</c:v>
                </c:pt>
                <c:pt idx="228">
                  <c:v>2</c:v>
                </c:pt>
                <c:pt idx="229">
                  <c:v>5</c:v>
                </c:pt>
                <c:pt idx="230">
                  <c:v>4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4</c:v>
                </c:pt>
                <c:pt idx="238">
                  <c:v>4</c:v>
                </c:pt>
                <c:pt idx="239">
                  <c:v>5</c:v>
                </c:pt>
                <c:pt idx="240">
                  <c:v>3</c:v>
                </c:pt>
                <c:pt idx="241">
                  <c:v>2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1</c:v>
                </c:pt>
                <c:pt idx="246">
                  <c:v>3</c:v>
                </c:pt>
                <c:pt idx="247">
                  <c:v>2</c:v>
                </c:pt>
                <c:pt idx="248">
                  <c:v>3</c:v>
                </c:pt>
              </c:numCache>
            </c:numRef>
          </c:xVal>
          <c:yVal>
            <c:numRef>
              <c:f>Regression!$B$25:$B$273</c:f>
              <c:numCache>
                <c:formatCode>General</c:formatCode>
                <c:ptCount val="249"/>
                <c:pt idx="0">
                  <c:v>913.17724574894521</c:v>
                </c:pt>
                <c:pt idx="1">
                  <c:v>913.17724574894521</c:v>
                </c:pt>
                <c:pt idx="2">
                  <c:v>913.17724574894521</c:v>
                </c:pt>
                <c:pt idx="3">
                  <c:v>1620.75445142424</c:v>
                </c:pt>
                <c:pt idx="4">
                  <c:v>559.38864291129789</c:v>
                </c:pt>
                <c:pt idx="5">
                  <c:v>1620.75445142424</c:v>
                </c:pt>
                <c:pt idx="6">
                  <c:v>913.17724574894521</c:v>
                </c:pt>
                <c:pt idx="7">
                  <c:v>913.17724574894521</c:v>
                </c:pt>
                <c:pt idx="8">
                  <c:v>913.17724574894521</c:v>
                </c:pt>
                <c:pt idx="9">
                  <c:v>205.60004007365052</c:v>
                </c:pt>
                <c:pt idx="10">
                  <c:v>1620.75445142424</c:v>
                </c:pt>
                <c:pt idx="11">
                  <c:v>913.17724574894521</c:v>
                </c:pt>
                <c:pt idx="12">
                  <c:v>913.17724574894521</c:v>
                </c:pt>
                <c:pt idx="13">
                  <c:v>913.17724574894521</c:v>
                </c:pt>
                <c:pt idx="14">
                  <c:v>205.60004007365052</c:v>
                </c:pt>
                <c:pt idx="15">
                  <c:v>1266.9658485865925</c:v>
                </c:pt>
                <c:pt idx="16">
                  <c:v>559.38864291129789</c:v>
                </c:pt>
                <c:pt idx="17">
                  <c:v>1266.9658485865925</c:v>
                </c:pt>
                <c:pt idx="18">
                  <c:v>913.17724574894521</c:v>
                </c:pt>
                <c:pt idx="19">
                  <c:v>1620.75445142424</c:v>
                </c:pt>
                <c:pt idx="20">
                  <c:v>1266.9658485865925</c:v>
                </c:pt>
                <c:pt idx="21">
                  <c:v>1266.9658485865925</c:v>
                </c:pt>
                <c:pt idx="22">
                  <c:v>1266.9658485865925</c:v>
                </c:pt>
                <c:pt idx="23">
                  <c:v>1620.75445142424</c:v>
                </c:pt>
                <c:pt idx="24">
                  <c:v>1620.75445142424</c:v>
                </c:pt>
                <c:pt idx="25">
                  <c:v>913.17724574894521</c:v>
                </c:pt>
                <c:pt idx="26">
                  <c:v>1620.75445142424</c:v>
                </c:pt>
                <c:pt idx="27">
                  <c:v>559.38864291129789</c:v>
                </c:pt>
                <c:pt idx="28">
                  <c:v>1266.9658485865925</c:v>
                </c:pt>
                <c:pt idx="29">
                  <c:v>1620.75445142424</c:v>
                </c:pt>
                <c:pt idx="30">
                  <c:v>559.38864291129789</c:v>
                </c:pt>
                <c:pt idx="31">
                  <c:v>913.17724574894521</c:v>
                </c:pt>
                <c:pt idx="32">
                  <c:v>205.60004007365052</c:v>
                </c:pt>
                <c:pt idx="33">
                  <c:v>913.17724574894521</c:v>
                </c:pt>
                <c:pt idx="34">
                  <c:v>913.17724574894521</c:v>
                </c:pt>
                <c:pt idx="35">
                  <c:v>913.17724574894521</c:v>
                </c:pt>
                <c:pt idx="36">
                  <c:v>1620.75445142424</c:v>
                </c:pt>
                <c:pt idx="37">
                  <c:v>913.17724574894521</c:v>
                </c:pt>
                <c:pt idx="38">
                  <c:v>205.60004007365052</c:v>
                </c:pt>
                <c:pt idx="39">
                  <c:v>559.38864291129789</c:v>
                </c:pt>
                <c:pt idx="40">
                  <c:v>205.60004007365052</c:v>
                </c:pt>
                <c:pt idx="41">
                  <c:v>1620.75445142424</c:v>
                </c:pt>
                <c:pt idx="42">
                  <c:v>1620.75445142424</c:v>
                </c:pt>
                <c:pt idx="43">
                  <c:v>205.60004007365052</c:v>
                </c:pt>
                <c:pt idx="44">
                  <c:v>559.38864291129789</c:v>
                </c:pt>
                <c:pt idx="45">
                  <c:v>1266.9658485865925</c:v>
                </c:pt>
                <c:pt idx="46">
                  <c:v>1620.75445142424</c:v>
                </c:pt>
                <c:pt idx="47">
                  <c:v>559.38864291129789</c:v>
                </c:pt>
                <c:pt idx="48">
                  <c:v>1620.75445142424</c:v>
                </c:pt>
                <c:pt idx="49">
                  <c:v>1620.75445142424</c:v>
                </c:pt>
                <c:pt idx="50">
                  <c:v>205.60004007365052</c:v>
                </c:pt>
                <c:pt idx="51">
                  <c:v>559.38864291129789</c:v>
                </c:pt>
                <c:pt idx="52">
                  <c:v>1266.9658485865925</c:v>
                </c:pt>
                <c:pt idx="53">
                  <c:v>205.60004007365052</c:v>
                </c:pt>
                <c:pt idx="54">
                  <c:v>559.38864291129789</c:v>
                </c:pt>
                <c:pt idx="55">
                  <c:v>913.17724574894521</c:v>
                </c:pt>
                <c:pt idx="56">
                  <c:v>1266.9658485865925</c:v>
                </c:pt>
                <c:pt idx="57">
                  <c:v>205.60004007365052</c:v>
                </c:pt>
                <c:pt idx="58">
                  <c:v>559.38864291129789</c:v>
                </c:pt>
                <c:pt idx="59">
                  <c:v>205.60004007365052</c:v>
                </c:pt>
                <c:pt idx="60">
                  <c:v>205.60004007365052</c:v>
                </c:pt>
                <c:pt idx="61">
                  <c:v>1620.75445142424</c:v>
                </c:pt>
                <c:pt idx="62">
                  <c:v>205.60004007365052</c:v>
                </c:pt>
                <c:pt idx="63">
                  <c:v>559.38864291129789</c:v>
                </c:pt>
                <c:pt idx="64">
                  <c:v>1620.75445142424</c:v>
                </c:pt>
                <c:pt idx="65">
                  <c:v>1266.9658485865925</c:v>
                </c:pt>
                <c:pt idx="66">
                  <c:v>205.60004007365052</c:v>
                </c:pt>
                <c:pt idx="67">
                  <c:v>205.60004007365052</c:v>
                </c:pt>
                <c:pt idx="68">
                  <c:v>559.38864291129789</c:v>
                </c:pt>
                <c:pt idx="69">
                  <c:v>913.17724574894521</c:v>
                </c:pt>
                <c:pt idx="70">
                  <c:v>913.17724574894521</c:v>
                </c:pt>
                <c:pt idx="71">
                  <c:v>913.17724574894521</c:v>
                </c:pt>
                <c:pt idx="72">
                  <c:v>205.60004007365052</c:v>
                </c:pt>
                <c:pt idx="73">
                  <c:v>1620.75445142424</c:v>
                </c:pt>
                <c:pt idx="74">
                  <c:v>559.38864291129789</c:v>
                </c:pt>
                <c:pt idx="75">
                  <c:v>1266.9658485865925</c:v>
                </c:pt>
                <c:pt idx="76">
                  <c:v>559.38864291129789</c:v>
                </c:pt>
                <c:pt idx="77">
                  <c:v>205.60004007365052</c:v>
                </c:pt>
                <c:pt idx="78">
                  <c:v>559.38864291129789</c:v>
                </c:pt>
                <c:pt idx="79">
                  <c:v>913.17724574894521</c:v>
                </c:pt>
                <c:pt idx="80">
                  <c:v>559.38864291129789</c:v>
                </c:pt>
                <c:pt idx="81">
                  <c:v>1266.9658485865925</c:v>
                </c:pt>
                <c:pt idx="82">
                  <c:v>559.38864291129789</c:v>
                </c:pt>
                <c:pt idx="83">
                  <c:v>559.38864291129789</c:v>
                </c:pt>
                <c:pt idx="84">
                  <c:v>205.60004007365052</c:v>
                </c:pt>
                <c:pt idx="85">
                  <c:v>1620.75445142424</c:v>
                </c:pt>
                <c:pt idx="86">
                  <c:v>1266.9658485865925</c:v>
                </c:pt>
                <c:pt idx="87">
                  <c:v>1620.75445142424</c:v>
                </c:pt>
                <c:pt idx="88">
                  <c:v>913.17724574894521</c:v>
                </c:pt>
                <c:pt idx="89">
                  <c:v>1266.9658485865925</c:v>
                </c:pt>
                <c:pt idx="90">
                  <c:v>1620.75445142424</c:v>
                </c:pt>
                <c:pt idx="91">
                  <c:v>559.38864291129789</c:v>
                </c:pt>
                <c:pt idx="92">
                  <c:v>1620.75445142424</c:v>
                </c:pt>
                <c:pt idx="93">
                  <c:v>913.17724574894521</c:v>
                </c:pt>
                <c:pt idx="94">
                  <c:v>1620.75445142424</c:v>
                </c:pt>
                <c:pt idx="95">
                  <c:v>913.17724574894521</c:v>
                </c:pt>
                <c:pt idx="96">
                  <c:v>559.38864291129789</c:v>
                </c:pt>
                <c:pt idx="97">
                  <c:v>205.60004007365052</c:v>
                </c:pt>
                <c:pt idx="98">
                  <c:v>913.17724574894521</c:v>
                </c:pt>
                <c:pt idx="99">
                  <c:v>559.38864291129789</c:v>
                </c:pt>
                <c:pt idx="100">
                  <c:v>205.60004007365052</c:v>
                </c:pt>
                <c:pt idx="101">
                  <c:v>205.60004007365052</c:v>
                </c:pt>
                <c:pt idx="102">
                  <c:v>559.38864291129789</c:v>
                </c:pt>
                <c:pt idx="103">
                  <c:v>913.17724574894521</c:v>
                </c:pt>
                <c:pt idx="104">
                  <c:v>913.17724574894521</c:v>
                </c:pt>
                <c:pt idx="105">
                  <c:v>1266.9658485865925</c:v>
                </c:pt>
                <c:pt idx="106">
                  <c:v>205.60004007365052</c:v>
                </c:pt>
                <c:pt idx="107">
                  <c:v>913.17724574894521</c:v>
                </c:pt>
                <c:pt idx="108">
                  <c:v>559.38864291129789</c:v>
                </c:pt>
                <c:pt idx="109">
                  <c:v>1266.9658485865925</c:v>
                </c:pt>
                <c:pt idx="110">
                  <c:v>559.38864291129789</c:v>
                </c:pt>
                <c:pt idx="111">
                  <c:v>1266.9658485865925</c:v>
                </c:pt>
                <c:pt idx="112">
                  <c:v>1620.75445142424</c:v>
                </c:pt>
                <c:pt idx="113">
                  <c:v>205.60004007365052</c:v>
                </c:pt>
                <c:pt idx="114">
                  <c:v>1266.9658485865925</c:v>
                </c:pt>
                <c:pt idx="115">
                  <c:v>913.17724574894521</c:v>
                </c:pt>
                <c:pt idx="116">
                  <c:v>913.17724574894521</c:v>
                </c:pt>
                <c:pt idx="117">
                  <c:v>559.38864291129789</c:v>
                </c:pt>
                <c:pt idx="118">
                  <c:v>205.60004007365052</c:v>
                </c:pt>
                <c:pt idx="119">
                  <c:v>1266.9658485865925</c:v>
                </c:pt>
                <c:pt idx="120">
                  <c:v>559.38864291129789</c:v>
                </c:pt>
                <c:pt idx="121">
                  <c:v>1266.9658485865925</c:v>
                </c:pt>
                <c:pt idx="122">
                  <c:v>559.38864291129789</c:v>
                </c:pt>
                <c:pt idx="123">
                  <c:v>913.17724574894521</c:v>
                </c:pt>
                <c:pt idx="124">
                  <c:v>913.17724574894521</c:v>
                </c:pt>
                <c:pt idx="125">
                  <c:v>913.17724574894521</c:v>
                </c:pt>
                <c:pt idx="126">
                  <c:v>1620.75445142424</c:v>
                </c:pt>
                <c:pt idx="127">
                  <c:v>1266.9658485865925</c:v>
                </c:pt>
                <c:pt idx="128">
                  <c:v>205.60004007365052</c:v>
                </c:pt>
                <c:pt idx="129">
                  <c:v>559.38864291129789</c:v>
                </c:pt>
                <c:pt idx="130">
                  <c:v>913.17724574894521</c:v>
                </c:pt>
                <c:pt idx="131">
                  <c:v>559.38864291129789</c:v>
                </c:pt>
                <c:pt idx="132">
                  <c:v>559.38864291129789</c:v>
                </c:pt>
                <c:pt idx="133">
                  <c:v>1620.75445142424</c:v>
                </c:pt>
                <c:pt idx="134">
                  <c:v>913.17724574894521</c:v>
                </c:pt>
                <c:pt idx="135">
                  <c:v>1620.75445142424</c:v>
                </c:pt>
                <c:pt idx="136">
                  <c:v>913.17724574894521</c:v>
                </c:pt>
                <c:pt idx="137">
                  <c:v>913.17724574894521</c:v>
                </c:pt>
                <c:pt idx="138">
                  <c:v>559.38864291129789</c:v>
                </c:pt>
                <c:pt idx="139">
                  <c:v>205.60004007365052</c:v>
                </c:pt>
                <c:pt idx="140">
                  <c:v>913.17724574894521</c:v>
                </c:pt>
                <c:pt idx="141">
                  <c:v>1620.75445142424</c:v>
                </c:pt>
                <c:pt idx="142">
                  <c:v>1266.9658485865925</c:v>
                </c:pt>
                <c:pt idx="143">
                  <c:v>1620.75445142424</c:v>
                </c:pt>
                <c:pt idx="144">
                  <c:v>913.17724574894521</c:v>
                </c:pt>
                <c:pt idx="145">
                  <c:v>1620.75445142424</c:v>
                </c:pt>
                <c:pt idx="146">
                  <c:v>559.38864291129789</c:v>
                </c:pt>
                <c:pt idx="147">
                  <c:v>1266.9658485865925</c:v>
                </c:pt>
                <c:pt idx="148">
                  <c:v>205.60004007365052</c:v>
                </c:pt>
                <c:pt idx="149">
                  <c:v>913.17724574894521</c:v>
                </c:pt>
                <c:pt idx="150">
                  <c:v>1620.75445142424</c:v>
                </c:pt>
                <c:pt idx="151">
                  <c:v>559.38864291129789</c:v>
                </c:pt>
                <c:pt idx="152">
                  <c:v>913.17724574894521</c:v>
                </c:pt>
                <c:pt idx="153">
                  <c:v>1620.75445142424</c:v>
                </c:pt>
                <c:pt idx="154">
                  <c:v>559.38864291129789</c:v>
                </c:pt>
                <c:pt idx="155">
                  <c:v>1620.75445142424</c:v>
                </c:pt>
                <c:pt idx="156">
                  <c:v>1266.9658485865925</c:v>
                </c:pt>
                <c:pt idx="157">
                  <c:v>1266.9658485865925</c:v>
                </c:pt>
                <c:pt idx="158">
                  <c:v>559.38864291129789</c:v>
                </c:pt>
                <c:pt idx="159">
                  <c:v>913.17724574894521</c:v>
                </c:pt>
                <c:pt idx="160">
                  <c:v>1266.9658485865925</c:v>
                </c:pt>
                <c:pt idx="161">
                  <c:v>913.17724574894521</c:v>
                </c:pt>
                <c:pt idx="162">
                  <c:v>559.38864291129789</c:v>
                </c:pt>
                <c:pt idx="163">
                  <c:v>205.60004007365052</c:v>
                </c:pt>
                <c:pt idx="164">
                  <c:v>559.38864291129789</c:v>
                </c:pt>
                <c:pt idx="165">
                  <c:v>559.38864291129789</c:v>
                </c:pt>
                <c:pt idx="166">
                  <c:v>205.60004007365052</c:v>
                </c:pt>
                <c:pt idx="167">
                  <c:v>1620.75445142424</c:v>
                </c:pt>
                <c:pt idx="168">
                  <c:v>559.38864291129789</c:v>
                </c:pt>
                <c:pt idx="169">
                  <c:v>559.38864291129789</c:v>
                </c:pt>
                <c:pt idx="170">
                  <c:v>913.17724574894521</c:v>
                </c:pt>
                <c:pt idx="171">
                  <c:v>559.38864291129789</c:v>
                </c:pt>
                <c:pt idx="172">
                  <c:v>559.38864291129789</c:v>
                </c:pt>
                <c:pt idx="173">
                  <c:v>1266.9658485865925</c:v>
                </c:pt>
                <c:pt idx="174">
                  <c:v>205.60004007365052</c:v>
                </c:pt>
                <c:pt idx="175">
                  <c:v>1620.75445142424</c:v>
                </c:pt>
                <c:pt idx="176">
                  <c:v>205.60004007365052</c:v>
                </c:pt>
                <c:pt idx="177">
                  <c:v>559.38864291129789</c:v>
                </c:pt>
                <c:pt idx="178">
                  <c:v>205.60004007365052</c:v>
                </c:pt>
                <c:pt idx="179">
                  <c:v>1620.75445142424</c:v>
                </c:pt>
                <c:pt idx="180">
                  <c:v>913.17724574894521</c:v>
                </c:pt>
                <c:pt idx="181">
                  <c:v>913.17724574894521</c:v>
                </c:pt>
                <c:pt idx="182">
                  <c:v>1620.75445142424</c:v>
                </c:pt>
                <c:pt idx="183">
                  <c:v>1620.75445142424</c:v>
                </c:pt>
                <c:pt idx="184">
                  <c:v>1266.9658485865925</c:v>
                </c:pt>
                <c:pt idx="185">
                  <c:v>913.17724574894521</c:v>
                </c:pt>
                <c:pt idx="186">
                  <c:v>205.60004007365052</c:v>
                </c:pt>
                <c:pt idx="187">
                  <c:v>205.60004007365052</c:v>
                </c:pt>
                <c:pt idx="188">
                  <c:v>1266.9658485865925</c:v>
                </c:pt>
                <c:pt idx="189">
                  <c:v>559.38864291129789</c:v>
                </c:pt>
                <c:pt idx="190">
                  <c:v>913.17724574894521</c:v>
                </c:pt>
                <c:pt idx="191">
                  <c:v>1266.9658485865925</c:v>
                </c:pt>
                <c:pt idx="192">
                  <c:v>1620.75445142424</c:v>
                </c:pt>
                <c:pt idx="193">
                  <c:v>913.17724574894521</c:v>
                </c:pt>
                <c:pt idx="194">
                  <c:v>1620.75445142424</c:v>
                </c:pt>
                <c:pt idx="195">
                  <c:v>1266.9658485865925</c:v>
                </c:pt>
                <c:pt idx="196">
                  <c:v>1266.9658485865925</c:v>
                </c:pt>
                <c:pt idx="197">
                  <c:v>1266.9658485865925</c:v>
                </c:pt>
                <c:pt idx="198">
                  <c:v>913.17724574894521</c:v>
                </c:pt>
                <c:pt idx="199">
                  <c:v>559.38864291129789</c:v>
                </c:pt>
                <c:pt idx="200">
                  <c:v>1266.9658485865925</c:v>
                </c:pt>
                <c:pt idx="201">
                  <c:v>559.38864291129789</c:v>
                </c:pt>
                <c:pt idx="202">
                  <c:v>913.17724574894521</c:v>
                </c:pt>
                <c:pt idx="203">
                  <c:v>205.60004007365052</c:v>
                </c:pt>
                <c:pt idx="204">
                  <c:v>913.17724574894521</c:v>
                </c:pt>
                <c:pt idx="205">
                  <c:v>1620.75445142424</c:v>
                </c:pt>
                <c:pt idx="206">
                  <c:v>1620.75445142424</c:v>
                </c:pt>
                <c:pt idx="207">
                  <c:v>913.17724574894521</c:v>
                </c:pt>
                <c:pt idx="208">
                  <c:v>913.17724574894521</c:v>
                </c:pt>
                <c:pt idx="209">
                  <c:v>559.38864291129789</c:v>
                </c:pt>
                <c:pt idx="210">
                  <c:v>559.38864291129789</c:v>
                </c:pt>
                <c:pt idx="211">
                  <c:v>1620.75445142424</c:v>
                </c:pt>
                <c:pt idx="212">
                  <c:v>913.17724574894521</c:v>
                </c:pt>
                <c:pt idx="213">
                  <c:v>913.17724574894521</c:v>
                </c:pt>
                <c:pt idx="214">
                  <c:v>913.17724574894521</c:v>
                </c:pt>
                <c:pt idx="215">
                  <c:v>1620.75445142424</c:v>
                </c:pt>
                <c:pt idx="216">
                  <c:v>205.60004007365052</c:v>
                </c:pt>
                <c:pt idx="217">
                  <c:v>205.60004007365052</c:v>
                </c:pt>
                <c:pt idx="218">
                  <c:v>1266.9658485865925</c:v>
                </c:pt>
                <c:pt idx="219">
                  <c:v>1620.75445142424</c:v>
                </c:pt>
                <c:pt idx="220">
                  <c:v>559.38864291129789</c:v>
                </c:pt>
                <c:pt idx="221">
                  <c:v>1266.9658485865925</c:v>
                </c:pt>
                <c:pt idx="222">
                  <c:v>559.38864291129789</c:v>
                </c:pt>
                <c:pt idx="223">
                  <c:v>559.38864291129789</c:v>
                </c:pt>
                <c:pt idx="224">
                  <c:v>1620.75445142424</c:v>
                </c:pt>
                <c:pt idx="225">
                  <c:v>1620.75445142424</c:v>
                </c:pt>
                <c:pt idx="226">
                  <c:v>559.38864291129789</c:v>
                </c:pt>
                <c:pt idx="227">
                  <c:v>1620.75445142424</c:v>
                </c:pt>
                <c:pt idx="228">
                  <c:v>559.38864291129789</c:v>
                </c:pt>
                <c:pt idx="229">
                  <c:v>1620.75445142424</c:v>
                </c:pt>
                <c:pt idx="230">
                  <c:v>1266.9658485865925</c:v>
                </c:pt>
                <c:pt idx="231">
                  <c:v>205.60004007365052</c:v>
                </c:pt>
                <c:pt idx="232">
                  <c:v>559.38864291129789</c:v>
                </c:pt>
                <c:pt idx="233">
                  <c:v>559.38864291129789</c:v>
                </c:pt>
                <c:pt idx="234">
                  <c:v>913.17724574894521</c:v>
                </c:pt>
                <c:pt idx="235">
                  <c:v>913.17724574894521</c:v>
                </c:pt>
                <c:pt idx="236">
                  <c:v>913.17724574894521</c:v>
                </c:pt>
                <c:pt idx="237">
                  <c:v>1266.9658485865925</c:v>
                </c:pt>
                <c:pt idx="238">
                  <c:v>1266.9658485865925</c:v>
                </c:pt>
                <c:pt idx="239">
                  <c:v>1620.75445142424</c:v>
                </c:pt>
                <c:pt idx="240">
                  <c:v>913.17724574894521</c:v>
                </c:pt>
                <c:pt idx="241">
                  <c:v>559.38864291129789</c:v>
                </c:pt>
                <c:pt idx="242">
                  <c:v>559.38864291129789</c:v>
                </c:pt>
                <c:pt idx="243">
                  <c:v>913.17724574894521</c:v>
                </c:pt>
                <c:pt idx="244">
                  <c:v>913.17724574894521</c:v>
                </c:pt>
                <c:pt idx="245">
                  <c:v>205.60004007365052</c:v>
                </c:pt>
                <c:pt idx="246">
                  <c:v>913.17724574894521</c:v>
                </c:pt>
                <c:pt idx="247">
                  <c:v>559.38864291129789</c:v>
                </c:pt>
                <c:pt idx="248">
                  <c:v>913.17724574894521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3B-4E82-B512-B63E6B0A1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989632"/>
        <c:axId val="239181680"/>
      </c:scatterChart>
      <c:valAx>
        <c:axId val="62098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9181680"/>
        <c:crosses val="autoZero"/>
        <c:crossBetween val="midCat"/>
      </c:valAx>
      <c:valAx>
        <c:axId val="2391816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749.97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0989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val>
            <c:numRef>
              <c:f>[Final_Project_Data_Intelligence_Dashboard.xlsx]Visualizations!$L$5:$L$14</c:f>
              <c:numCache>
                <c:formatCode>"₹"#,##0.00</c:formatCode>
                <c:ptCount val="10"/>
                <c:pt idx="0">
                  <c:v>5219.13</c:v>
                </c:pt>
                <c:pt idx="1">
                  <c:v>15298.98</c:v>
                </c:pt>
                <c:pt idx="2">
                  <c:v>3119.61</c:v>
                </c:pt>
                <c:pt idx="3">
                  <c:v>23399.22</c:v>
                </c:pt>
                <c:pt idx="4">
                  <c:v>7049.53</c:v>
                </c:pt>
                <c:pt idx="5">
                  <c:v>8009.11</c:v>
                </c:pt>
                <c:pt idx="6">
                  <c:v>67499.25</c:v>
                </c:pt>
                <c:pt idx="7">
                  <c:v>21999.119999999999</c:v>
                </c:pt>
                <c:pt idx="8">
                  <c:v>10399.48</c:v>
                </c:pt>
                <c:pt idx="9">
                  <c:v>67199.039999999994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[Final_Project_Data_Intelligence_Dashboard.xlsx]Visualizations!$L$4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[Final_Project_Data_Intelligence_Dashboard.xlsx]Visualizations!$K$5:$K$14</c15:sqref>
                        </c15:formulaRef>
                      </c:ext>
                    </c:extLst>
                    <c:strCache>
                      <c:ptCount val="10"/>
                      <c:pt idx="0">
                        <c:v>Blender</c:v>
                      </c:pt>
                      <c:pt idx="1">
                        <c:v>Bookshelf</c:v>
                      </c:pt>
                      <c:pt idx="2">
                        <c:v>Coffee Maker</c:v>
                      </c:pt>
                      <c:pt idx="3">
                        <c:v>Desk</c:v>
                      </c:pt>
                      <c:pt idx="4">
                        <c:v>Headphones</c:v>
                      </c:pt>
                      <c:pt idx="5">
                        <c:v>Keyboard</c:v>
                      </c:pt>
                      <c:pt idx="6">
                        <c:v>Laptop</c:v>
                      </c:pt>
                      <c:pt idx="7">
                        <c:v>Monitor</c:v>
                      </c:pt>
                      <c:pt idx="8">
                        <c:v>Office Chair</c:v>
                      </c:pt>
                      <c:pt idx="9">
                        <c:v>Smartphone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38B-4A9A-9E44-74232575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</c:title>
        <c:numFmt formatCode="&quot;₹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3c83f3-3a6a-4207-bc6b-443a92c67cfd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[Final_Project_Data_Intelligence_Dashboard.xlsx]Visualizations!$B$5:$B$17</c:f>
              <c:numCache>
                <c:formatCode>"₹"#,##0.00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18479.400000000001</c:v>
                </c:pt>
                <c:pt idx="4">
                  <c:v>15759.43</c:v>
                </c:pt>
                <c:pt idx="5">
                  <c:v>12989.51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25799.15</c:v>
                </c:pt>
                <c:pt idx="10">
                  <c:v>16069.38</c:v>
                </c:pt>
                <c:pt idx="11">
                  <c:v>19899.38</c:v>
                </c:pt>
                <c:pt idx="12">
                  <c:v>6979.83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[Final_Project_Data_Intelligence_Dashboard.xlsx]Visualizations!$B$4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[Final_Project_Data_Intelligence_Dashboard.xlsx]Visualizations!$A$5:$A$17</c15:sqref>
                        </c15:formulaRef>
                      </c:ext>
                    </c:extLst>
                    <c:numCache>
                      <c:formatCode>mmm/yy</c:formatCode>
                      <c:ptCount val="13"/>
                      <c:pt idx="0">
                        <c:v>45383</c:v>
                      </c:pt>
                      <c:pt idx="1">
                        <c:v>45413</c:v>
                      </c:pt>
                      <c:pt idx="2">
                        <c:v>45444</c:v>
                      </c:pt>
                      <c:pt idx="3">
                        <c:v>45474</c:v>
                      </c:pt>
                      <c:pt idx="4">
                        <c:v>45505</c:v>
                      </c:pt>
                      <c:pt idx="5">
                        <c:v>45536</c:v>
                      </c:pt>
                      <c:pt idx="6">
                        <c:v>45566</c:v>
                      </c:pt>
                      <c:pt idx="7">
                        <c:v>45597</c:v>
                      </c:pt>
                      <c:pt idx="8">
                        <c:v>45627</c:v>
                      </c:pt>
                      <c:pt idx="9">
                        <c:v>45658</c:v>
                      </c:pt>
                      <c:pt idx="10">
                        <c:v>45689</c:v>
                      </c:pt>
                      <c:pt idx="11">
                        <c:v>45717</c:v>
                      </c:pt>
                      <c:pt idx="12">
                        <c:v>45748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57D-409A-B485-45EA6AE8A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mmm/yy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</c:title>
        <c:numFmt formatCode="&quot;₹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f1fa8d-3fb6-4515-b556-b84cd100f37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dPt>
            <c:idx val="0"/>
            <c:bubble3D val="0"/>
            <c:spPr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E1-40FC-9621-7FEEDA05B57F}"/>
              </c:ext>
            </c:extLst>
          </c:dPt>
          <c:dPt>
            <c:idx val="1"/>
            <c:bubble3D val="0"/>
            <c:spPr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E1-40FC-9621-7FEEDA05B57F}"/>
              </c:ext>
            </c:extLst>
          </c:dPt>
          <c:dPt>
            <c:idx val="2"/>
            <c:bubble3D val="0"/>
            <c:spPr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E1-40FC-9621-7FEEDA05B5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[Final_Project_Data_Intelligence_Dashboard.xlsx]Visualizations!$F$5:$F$7</c:f>
              <c:numCache>
                <c:formatCode>"₹"#,##0.00</c:formatCode>
                <c:ptCount val="3"/>
                <c:pt idx="0">
                  <c:v>8338.74</c:v>
                </c:pt>
                <c:pt idx="1">
                  <c:v>171756.05</c:v>
                </c:pt>
                <c:pt idx="2">
                  <c:v>49097.68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[Final_Project_Data_Intelligence_Dashboard.xlsx]Visualizations!$F$4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[Final_Project_Data_Intelligence_Dashboard.xlsx]Visualizations!$E$5:$E$7</c15:sqref>
                        </c15:formulaRef>
                      </c:ext>
                    </c:extLst>
                    <c:strCache>
                      <c:ptCount val="3"/>
                      <c:pt idx="0">
                        <c:v>Appliances</c:v>
                      </c:pt>
                      <c:pt idx="1">
                        <c:v>Electronics</c:v>
                      </c:pt>
                      <c:pt idx="2">
                        <c:v>Furniture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9E1-40FC-9621-7FEEDA05B57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 rtl="0"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1a7b9d-d31c-4628-b3c8-300f71d02ded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ln>
              <a:noFill/>
              <a:prstDash val="solid"/>
            </a:ln>
          </c:spPr>
          <c:invertIfNegative val="0"/>
          <c:val>
            <c:numRef>
              <c:f>[Final_Project_Data_Intelligence_Dashboard.xlsx]Visualizations!$L$5:$L$14</c:f>
              <c:numCache>
                <c:formatCode>"₹"#,##0.00</c:formatCode>
                <c:ptCount val="10"/>
                <c:pt idx="0">
                  <c:v>5219.13</c:v>
                </c:pt>
                <c:pt idx="1">
                  <c:v>15298.98</c:v>
                </c:pt>
                <c:pt idx="2">
                  <c:v>3119.61</c:v>
                </c:pt>
                <c:pt idx="3">
                  <c:v>23399.22</c:v>
                </c:pt>
                <c:pt idx="4">
                  <c:v>7049.53</c:v>
                </c:pt>
                <c:pt idx="5">
                  <c:v>8009.11</c:v>
                </c:pt>
                <c:pt idx="6">
                  <c:v>67499.25</c:v>
                </c:pt>
                <c:pt idx="7">
                  <c:v>21999.119999999999</c:v>
                </c:pt>
                <c:pt idx="8">
                  <c:v>10399.48</c:v>
                </c:pt>
                <c:pt idx="9">
                  <c:v>67199.039999999994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[Final_Project_Data_Intelligence_Dashboard.xlsx]Visualizations!$L$4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[Final_Project_Data_Intelligence_Dashboard.xlsx]Visualizations!$K$5:$K$14</c15:sqref>
                        </c15:formulaRef>
                      </c:ext>
                    </c:extLst>
                    <c:strCache>
                      <c:ptCount val="10"/>
                      <c:pt idx="0">
                        <c:v>Blender</c:v>
                      </c:pt>
                      <c:pt idx="1">
                        <c:v>Bookshelf</c:v>
                      </c:pt>
                      <c:pt idx="2">
                        <c:v>Coffee Maker</c:v>
                      </c:pt>
                      <c:pt idx="3">
                        <c:v>Desk</c:v>
                      </c:pt>
                      <c:pt idx="4">
                        <c:v>Headphones</c:v>
                      </c:pt>
                      <c:pt idx="5">
                        <c:v>Keyboard</c:v>
                      </c:pt>
                      <c:pt idx="6">
                        <c:v>Laptop</c:v>
                      </c:pt>
                      <c:pt idx="7">
                        <c:v>Monitor</c:v>
                      </c:pt>
                      <c:pt idx="8">
                        <c:v>Office Chair</c:v>
                      </c:pt>
                      <c:pt idx="9">
                        <c:v>Smartphone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E0F-4FFC-9015-5FF1E1A8D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</c:title>
        <c:numFmt formatCode="&quot;₹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cb2fbb-4f28-4230-b518-5a59cf57c263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Mix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C9-4DE3-8E2A-06F4FD77507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C9-4DE3-8E2A-06F4FD775078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C9-4DE3-8E2A-06F4FD775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[Final_Project_Data_Intelligence_Dashboard.xlsx]Visualizations!$F$5:$F$7</c:f>
              <c:numCache>
                <c:formatCode>"₹"#,##0.00</c:formatCode>
                <c:ptCount val="3"/>
                <c:pt idx="0">
                  <c:v>8338.74</c:v>
                </c:pt>
                <c:pt idx="1">
                  <c:v>171756.05</c:v>
                </c:pt>
                <c:pt idx="2">
                  <c:v>49097.68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[Final_Project_Data_Intelligence_Dashboard.xlsx]Visualizations!$F$4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[Final_Project_Data_Intelligence_Dashboard.xlsx]Visualizations!$E$5:$E$7</c15:sqref>
                        </c15:formulaRef>
                      </c:ext>
                    </c:extLst>
                    <c:strCache>
                      <c:ptCount val="3"/>
                      <c:pt idx="0">
                        <c:v>Appliances</c:v>
                      </c:pt>
                      <c:pt idx="1">
                        <c:v>Electronics</c:v>
                      </c:pt>
                      <c:pt idx="2">
                        <c:v>Furniture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7C9-4DE3-8E2A-06F4FD775078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rtl="0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aac7ff-b14a-4baf-9fa5-fa423df7f35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[Final_Project_Data_Intelligence_Dashboard.xlsx]Visualizations!$B$5:$B$17</c:f>
              <c:numCache>
                <c:formatCode>"₹"#,##0.00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18479.400000000001</c:v>
                </c:pt>
                <c:pt idx="4">
                  <c:v>15759.43</c:v>
                </c:pt>
                <c:pt idx="5">
                  <c:v>12989.51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25799.15</c:v>
                </c:pt>
                <c:pt idx="10">
                  <c:v>16069.38</c:v>
                </c:pt>
                <c:pt idx="11">
                  <c:v>19899.38</c:v>
                </c:pt>
                <c:pt idx="12">
                  <c:v>6979.83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[Final_Project_Data_Intelligence_Dashboard.xlsx]Visualizations!$B$4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[Final_Project_Data_Intelligence_Dashboard.xlsx]Visualizations!$A$5:$A$17</c15:sqref>
                        </c15:formulaRef>
                      </c:ext>
                    </c:extLst>
                    <c:numCache>
                      <c:formatCode>mmm/yy</c:formatCode>
                      <c:ptCount val="13"/>
                      <c:pt idx="0">
                        <c:v>45383</c:v>
                      </c:pt>
                      <c:pt idx="1">
                        <c:v>45413</c:v>
                      </c:pt>
                      <c:pt idx="2">
                        <c:v>45444</c:v>
                      </c:pt>
                      <c:pt idx="3">
                        <c:v>45474</c:v>
                      </c:pt>
                      <c:pt idx="4">
                        <c:v>45505</c:v>
                      </c:pt>
                      <c:pt idx="5">
                        <c:v>45536</c:v>
                      </c:pt>
                      <c:pt idx="6">
                        <c:v>45566</c:v>
                      </c:pt>
                      <c:pt idx="7">
                        <c:v>45597</c:v>
                      </c:pt>
                      <c:pt idx="8">
                        <c:v>45627</c:v>
                      </c:pt>
                      <c:pt idx="9">
                        <c:v>45658</c:v>
                      </c:pt>
                      <c:pt idx="10">
                        <c:v>45689</c:v>
                      </c:pt>
                      <c:pt idx="11">
                        <c:v>45717</c:v>
                      </c:pt>
                      <c:pt idx="12">
                        <c:v>45748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644-4737-A906-A4F25A7D9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</c:title>
        <c:numFmt formatCode="&quot;₹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eabd64-a7bf-4b67-9f40-3eaccd6a094f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'raw data'!$H$3:$H$251</c:f>
              <c:numCache>
                <c:formatCode>General</c:formatCode>
                <c:ptCount val="24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5</c:v>
                </c:pt>
                <c:pt idx="27">
                  <c:v>2</c:v>
                </c:pt>
                <c:pt idx="28">
                  <c:v>4</c:v>
                </c:pt>
                <c:pt idx="29">
                  <c:v>5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5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5</c:v>
                </c:pt>
                <c:pt idx="42">
                  <c:v>5</c:v>
                </c:pt>
                <c:pt idx="43">
                  <c:v>1</c:v>
                </c:pt>
                <c:pt idx="44">
                  <c:v>2</c:v>
                </c:pt>
                <c:pt idx="45">
                  <c:v>4</c:v>
                </c:pt>
                <c:pt idx="46">
                  <c:v>5</c:v>
                </c:pt>
                <c:pt idx="47">
                  <c:v>2</c:v>
                </c:pt>
                <c:pt idx="48">
                  <c:v>5</c:v>
                </c:pt>
                <c:pt idx="49">
                  <c:v>5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1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5</c:v>
                </c:pt>
                <c:pt idx="62">
                  <c:v>1</c:v>
                </c:pt>
                <c:pt idx="63">
                  <c:v>2</c:v>
                </c:pt>
                <c:pt idx="64">
                  <c:v>5</c:v>
                </c:pt>
                <c:pt idx="65">
                  <c:v>4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1</c:v>
                </c:pt>
                <c:pt idx="73">
                  <c:v>5</c:v>
                </c:pt>
                <c:pt idx="74">
                  <c:v>2</c:v>
                </c:pt>
                <c:pt idx="75">
                  <c:v>4</c:v>
                </c:pt>
                <c:pt idx="76">
                  <c:v>2</c:v>
                </c:pt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2</c:v>
                </c:pt>
                <c:pt idx="81">
                  <c:v>4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5</c:v>
                </c:pt>
                <c:pt idx="86">
                  <c:v>4</c:v>
                </c:pt>
                <c:pt idx="87">
                  <c:v>5</c:v>
                </c:pt>
                <c:pt idx="88">
                  <c:v>3</c:v>
                </c:pt>
                <c:pt idx="89">
                  <c:v>4</c:v>
                </c:pt>
                <c:pt idx="90">
                  <c:v>5</c:v>
                </c:pt>
                <c:pt idx="91">
                  <c:v>2</c:v>
                </c:pt>
                <c:pt idx="92">
                  <c:v>5</c:v>
                </c:pt>
                <c:pt idx="93">
                  <c:v>3</c:v>
                </c:pt>
                <c:pt idx="94">
                  <c:v>5</c:v>
                </c:pt>
                <c:pt idx="95">
                  <c:v>3</c:v>
                </c:pt>
                <c:pt idx="96">
                  <c:v>2</c:v>
                </c:pt>
                <c:pt idx="97">
                  <c:v>1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1</c:v>
                </c:pt>
                <c:pt idx="107">
                  <c:v>3</c:v>
                </c:pt>
                <c:pt idx="108">
                  <c:v>2</c:v>
                </c:pt>
                <c:pt idx="109">
                  <c:v>4</c:v>
                </c:pt>
                <c:pt idx="110">
                  <c:v>2</c:v>
                </c:pt>
                <c:pt idx="111">
                  <c:v>4</c:v>
                </c:pt>
                <c:pt idx="112">
                  <c:v>5</c:v>
                </c:pt>
                <c:pt idx="113">
                  <c:v>1</c:v>
                </c:pt>
                <c:pt idx="114">
                  <c:v>4</c:v>
                </c:pt>
                <c:pt idx="115">
                  <c:v>3</c:v>
                </c:pt>
                <c:pt idx="116">
                  <c:v>3</c:v>
                </c:pt>
                <c:pt idx="117">
                  <c:v>2</c:v>
                </c:pt>
                <c:pt idx="118">
                  <c:v>1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5</c:v>
                </c:pt>
                <c:pt idx="127">
                  <c:v>4</c:v>
                </c:pt>
                <c:pt idx="128">
                  <c:v>1</c:v>
                </c:pt>
                <c:pt idx="129">
                  <c:v>2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5</c:v>
                </c:pt>
                <c:pt idx="134">
                  <c:v>3</c:v>
                </c:pt>
                <c:pt idx="135">
                  <c:v>5</c:v>
                </c:pt>
                <c:pt idx="136">
                  <c:v>3</c:v>
                </c:pt>
                <c:pt idx="137">
                  <c:v>3</c:v>
                </c:pt>
                <c:pt idx="138">
                  <c:v>2</c:v>
                </c:pt>
                <c:pt idx="139">
                  <c:v>1</c:v>
                </c:pt>
                <c:pt idx="140">
                  <c:v>3</c:v>
                </c:pt>
                <c:pt idx="141">
                  <c:v>5</c:v>
                </c:pt>
                <c:pt idx="142">
                  <c:v>4</c:v>
                </c:pt>
                <c:pt idx="143">
                  <c:v>5</c:v>
                </c:pt>
                <c:pt idx="144">
                  <c:v>3</c:v>
                </c:pt>
                <c:pt idx="145">
                  <c:v>5</c:v>
                </c:pt>
                <c:pt idx="146">
                  <c:v>2</c:v>
                </c:pt>
                <c:pt idx="147">
                  <c:v>4</c:v>
                </c:pt>
                <c:pt idx="148">
                  <c:v>1</c:v>
                </c:pt>
                <c:pt idx="149">
                  <c:v>3</c:v>
                </c:pt>
                <c:pt idx="150">
                  <c:v>5</c:v>
                </c:pt>
                <c:pt idx="151">
                  <c:v>2</c:v>
                </c:pt>
                <c:pt idx="152">
                  <c:v>3</c:v>
                </c:pt>
                <c:pt idx="153">
                  <c:v>5</c:v>
                </c:pt>
                <c:pt idx="154">
                  <c:v>2</c:v>
                </c:pt>
                <c:pt idx="155">
                  <c:v>5</c:v>
                </c:pt>
                <c:pt idx="156">
                  <c:v>4</c:v>
                </c:pt>
                <c:pt idx="157">
                  <c:v>4</c:v>
                </c:pt>
                <c:pt idx="158">
                  <c:v>2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2</c:v>
                </c:pt>
                <c:pt idx="163">
                  <c:v>1</c:v>
                </c:pt>
                <c:pt idx="164">
                  <c:v>2</c:v>
                </c:pt>
                <c:pt idx="165">
                  <c:v>2</c:v>
                </c:pt>
                <c:pt idx="166">
                  <c:v>1</c:v>
                </c:pt>
                <c:pt idx="167">
                  <c:v>5</c:v>
                </c:pt>
                <c:pt idx="168">
                  <c:v>2</c:v>
                </c:pt>
                <c:pt idx="169">
                  <c:v>2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4</c:v>
                </c:pt>
                <c:pt idx="174">
                  <c:v>1</c:v>
                </c:pt>
                <c:pt idx="175">
                  <c:v>5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5</c:v>
                </c:pt>
                <c:pt idx="180">
                  <c:v>3</c:v>
                </c:pt>
                <c:pt idx="181">
                  <c:v>3</c:v>
                </c:pt>
                <c:pt idx="182">
                  <c:v>5</c:v>
                </c:pt>
                <c:pt idx="183">
                  <c:v>5</c:v>
                </c:pt>
                <c:pt idx="184">
                  <c:v>4</c:v>
                </c:pt>
                <c:pt idx="185">
                  <c:v>3</c:v>
                </c:pt>
                <c:pt idx="186">
                  <c:v>1</c:v>
                </c:pt>
                <c:pt idx="187">
                  <c:v>1</c:v>
                </c:pt>
                <c:pt idx="188">
                  <c:v>4</c:v>
                </c:pt>
                <c:pt idx="189">
                  <c:v>2</c:v>
                </c:pt>
                <c:pt idx="190">
                  <c:v>3</c:v>
                </c:pt>
                <c:pt idx="191">
                  <c:v>4</c:v>
                </c:pt>
                <c:pt idx="192">
                  <c:v>5</c:v>
                </c:pt>
                <c:pt idx="193">
                  <c:v>3</c:v>
                </c:pt>
                <c:pt idx="194">
                  <c:v>5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3</c:v>
                </c:pt>
                <c:pt idx="199">
                  <c:v>2</c:v>
                </c:pt>
                <c:pt idx="200">
                  <c:v>4</c:v>
                </c:pt>
                <c:pt idx="201">
                  <c:v>2</c:v>
                </c:pt>
                <c:pt idx="202">
                  <c:v>3</c:v>
                </c:pt>
                <c:pt idx="203">
                  <c:v>1</c:v>
                </c:pt>
                <c:pt idx="204">
                  <c:v>3</c:v>
                </c:pt>
                <c:pt idx="205">
                  <c:v>5</c:v>
                </c:pt>
                <c:pt idx="206">
                  <c:v>5</c:v>
                </c:pt>
                <c:pt idx="207">
                  <c:v>3</c:v>
                </c:pt>
                <c:pt idx="208">
                  <c:v>3</c:v>
                </c:pt>
                <c:pt idx="209">
                  <c:v>2</c:v>
                </c:pt>
                <c:pt idx="210">
                  <c:v>2</c:v>
                </c:pt>
                <c:pt idx="211">
                  <c:v>5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5</c:v>
                </c:pt>
                <c:pt idx="216">
                  <c:v>1</c:v>
                </c:pt>
                <c:pt idx="217">
                  <c:v>1</c:v>
                </c:pt>
                <c:pt idx="218">
                  <c:v>4</c:v>
                </c:pt>
                <c:pt idx="219">
                  <c:v>5</c:v>
                </c:pt>
                <c:pt idx="220">
                  <c:v>2</c:v>
                </c:pt>
                <c:pt idx="221">
                  <c:v>4</c:v>
                </c:pt>
                <c:pt idx="222">
                  <c:v>2</c:v>
                </c:pt>
                <c:pt idx="223">
                  <c:v>2</c:v>
                </c:pt>
                <c:pt idx="224">
                  <c:v>5</c:v>
                </c:pt>
                <c:pt idx="225">
                  <c:v>5</c:v>
                </c:pt>
                <c:pt idx="226">
                  <c:v>2</c:v>
                </c:pt>
                <c:pt idx="227">
                  <c:v>5</c:v>
                </c:pt>
                <c:pt idx="228">
                  <c:v>2</c:v>
                </c:pt>
                <c:pt idx="229">
                  <c:v>5</c:v>
                </c:pt>
                <c:pt idx="230">
                  <c:v>4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4</c:v>
                </c:pt>
                <c:pt idx="238">
                  <c:v>4</c:v>
                </c:pt>
                <c:pt idx="239">
                  <c:v>5</c:v>
                </c:pt>
                <c:pt idx="240">
                  <c:v>3</c:v>
                </c:pt>
                <c:pt idx="241">
                  <c:v>2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1</c:v>
                </c:pt>
                <c:pt idx="246">
                  <c:v>3</c:v>
                </c:pt>
                <c:pt idx="247">
                  <c:v>2</c:v>
                </c:pt>
                <c:pt idx="248">
                  <c:v>3</c:v>
                </c:pt>
              </c:numCache>
            </c:numRef>
          </c:xVal>
          <c:yVal>
            <c:numRef>
              <c:f>'raw data'!$N$3:$N$251</c:f>
              <c:numCache>
                <c:formatCode>General</c:formatCode>
                <c:ptCount val="249"/>
                <c:pt idx="0">
                  <c:v>749.97</c:v>
                </c:pt>
                <c:pt idx="1">
                  <c:v>179.97</c:v>
                </c:pt>
                <c:pt idx="2">
                  <c:v>179.97</c:v>
                </c:pt>
                <c:pt idx="3">
                  <c:v>749.95</c:v>
                </c:pt>
                <c:pt idx="4">
                  <c:v>119.98</c:v>
                </c:pt>
                <c:pt idx="5">
                  <c:v>749.95</c:v>
                </c:pt>
                <c:pt idx="6">
                  <c:v>179.97</c:v>
                </c:pt>
                <c:pt idx="7">
                  <c:v>2699.97</c:v>
                </c:pt>
                <c:pt idx="8">
                  <c:v>179.97</c:v>
                </c:pt>
                <c:pt idx="9">
                  <c:v>149.99</c:v>
                </c:pt>
                <c:pt idx="10">
                  <c:v>749.95</c:v>
                </c:pt>
                <c:pt idx="11">
                  <c:v>449.97</c:v>
                </c:pt>
                <c:pt idx="12">
                  <c:v>179.97</c:v>
                </c:pt>
                <c:pt idx="13">
                  <c:v>2099.9699999999998</c:v>
                </c:pt>
                <c:pt idx="14">
                  <c:v>899.99</c:v>
                </c:pt>
                <c:pt idx="15">
                  <c:v>599.96</c:v>
                </c:pt>
                <c:pt idx="16">
                  <c:v>1399.98</c:v>
                </c:pt>
                <c:pt idx="17">
                  <c:v>3599.96</c:v>
                </c:pt>
                <c:pt idx="18">
                  <c:v>749.97</c:v>
                </c:pt>
                <c:pt idx="19">
                  <c:v>3499.95</c:v>
                </c:pt>
                <c:pt idx="20">
                  <c:v>2799.96</c:v>
                </c:pt>
                <c:pt idx="21">
                  <c:v>999.96</c:v>
                </c:pt>
                <c:pt idx="22">
                  <c:v>1199.96</c:v>
                </c:pt>
                <c:pt idx="23">
                  <c:v>1249.95</c:v>
                </c:pt>
                <c:pt idx="24">
                  <c:v>1499.95</c:v>
                </c:pt>
                <c:pt idx="25">
                  <c:v>239.97</c:v>
                </c:pt>
                <c:pt idx="26">
                  <c:v>449.95</c:v>
                </c:pt>
                <c:pt idx="27">
                  <c:v>119.98</c:v>
                </c:pt>
                <c:pt idx="28">
                  <c:v>239.96</c:v>
                </c:pt>
                <c:pt idx="29">
                  <c:v>999.95</c:v>
                </c:pt>
                <c:pt idx="30">
                  <c:v>299.98</c:v>
                </c:pt>
                <c:pt idx="31">
                  <c:v>449.97</c:v>
                </c:pt>
                <c:pt idx="32">
                  <c:v>899.99</c:v>
                </c:pt>
                <c:pt idx="33">
                  <c:v>899.97</c:v>
                </c:pt>
                <c:pt idx="34">
                  <c:v>239.97</c:v>
                </c:pt>
                <c:pt idx="35">
                  <c:v>599.97</c:v>
                </c:pt>
                <c:pt idx="36">
                  <c:v>3499.95</c:v>
                </c:pt>
                <c:pt idx="37">
                  <c:v>269.97000000000003</c:v>
                </c:pt>
                <c:pt idx="38">
                  <c:v>79.989999999999995</c:v>
                </c:pt>
                <c:pt idx="39">
                  <c:v>119.98</c:v>
                </c:pt>
                <c:pt idx="40">
                  <c:v>89.99</c:v>
                </c:pt>
                <c:pt idx="41">
                  <c:v>449.95</c:v>
                </c:pt>
                <c:pt idx="42">
                  <c:v>1249.95</c:v>
                </c:pt>
                <c:pt idx="43">
                  <c:v>89.99</c:v>
                </c:pt>
                <c:pt idx="44">
                  <c:v>299.98</c:v>
                </c:pt>
                <c:pt idx="45">
                  <c:v>239.96</c:v>
                </c:pt>
                <c:pt idx="46">
                  <c:v>449.95</c:v>
                </c:pt>
                <c:pt idx="47">
                  <c:v>179.98</c:v>
                </c:pt>
                <c:pt idx="48">
                  <c:v>4499.95</c:v>
                </c:pt>
                <c:pt idx="49">
                  <c:v>4499.95</c:v>
                </c:pt>
                <c:pt idx="50">
                  <c:v>59.99</c:v>
                </c:pt>
                <c:pt idx="51">
                  <c:v>599.98</c:v>
                </c:pt>
                <c:pt idx="52">
                  <c:v>359.96</c:v>
                </c:pt>
                <c:pt idx="53">
                  <c:v>79.989999999999995</c:v>
                </c:pt>
                <c:pt idx="54">
                  <c:v>179.98</c:v>
                </c:pt>
                <c:pt idx="55">
                  <c:v>2099.9699999999998</c:v>
                </c:pt>
                <c:pt idx="56">
                  <c:v>3599.96</c:v>
                </c:pt>
                <c:pt idx="57">
                  <c:v>149.99</c:v>
                </c:pt>
                <c:pt idx="58">
                  <c:v>179.98</c:v>
                </c:pt>
                <c:pt idx="59">
                  <c:v>89.99</c:v>
                </c:pt>
                <c:pt idx="60">
                  <c:v>89.99</c:v>
                </c:pt>
                <c:pt idx="61">
                  <c:v>399.95</c:v>
                </c:pt>
                <c:pt idx="62">
                  <c:v>149.99</c:v>
                </c:pt>
                <c:pt idx="63">
                  <c:v>1399.98</c:v>
                </c:pt>
                <c:pt idx="64">
                  <c:v>449.95</c:v>
                </c:pt>
                <c:pt idx="65">
                  <c:v>239.96</c:v>
                </c:pt>
                <c:pt idx="66">
                  <c:v>149.99</c:v>
                </c:pt>
                <c:pt idx="67">
                  <c:v>299.99</c:v>
                </c:pt>
                <c:pt idx="68">
                  <c:v>399.98</c:v>
                </c:pt>
                <c:pt idx="69">
                  <c:v>179.97</c:v>
                </c:pt>
                <c:pt idx="70">
                  <c:v>449.97</c:v>
                </c:pt>
                <c:pt idx="71">
                  <c:v>599.97</c:v>
                </c:pt>
                <c:pt idx="72">
                  <c:v>899.99</c:v>
                </c:pt>
                <c:pt idx="73">
                  <c:v>4499.95</c:v>
                </c:pt>
                <c:pt idx="74">
                  <c:v>119.98</c:v>
                </c:pt>
                <c:pt idx="75">
                  <c:v>999.96</c:v>
                </c:pt>
                <c:pt idx="76">
                  <c:v>499.98</c:v>
                </c:pt>
                <c:pt idx="77">
                  <c:v>299.99</c:v>
                </c:pt>
                <c:pt idx="78">
                  <c:v>179.98</c:v>
                </c:pt>
                <c:pt idx="79">
                  <c:v>899.97</c:v>
                </c:pt>
                <c:pt idx="80">
                  <c:v>1399.98</c:v>
                </c:pt>
                <c:pt idx="81">
                  <c:v>3599.96</c:v>
                </c:pt>
                <c:pt idx="82">
                  <c:v>299.98</c:v>
                </c:pt>
                <c:pt idx="83">
                  <c:v>299.98</c:v>
                </c:pt>
                <c:pt idx="84">
                  <c:v>89.99</c:v>
                </c:pt>
                <c:pt idx="85">
                  <c:v>1499.95</c:v>
                </c:pt>
                <c:pt idx="86">
                  <c:v>599.96</c:v>
                </c:pt>
                <c:pt idx="87">
                  <c:v>1249.95</c:v>
                </c:pt>
                <c:pt idx="88">
                  <c:v>749.97</c:v>
                </c:pt>
                <c:pt idx="89">
                  <c:v>799.96</c:v>
                </c:pt>
                <c:pt idx="90">
                  <c:v>999.95</c:v>
                </c:pt>
                <c:pt idx="91">
                  <c:v>179.98</c:v>
                </c:pt>
                <c:pt idx="92">
                  <c:v>4499.95</c:v>
                </c:pt>
                <c:pt idx="93">
                  <c:v>449.97</c:v>
                </c:pt>
                <c:pt idx="94">
                  <c:v>749.95</c:v>
                </c:pt>
                <c:pt idx="95">
                  <c:v>239.97</c:v>
                </c:pt>
                <c:pt idx="96">
                  <c:v>499.98</c:v>
                </c:pt>
                <c:pt idx="97">
                  <c:v>699.99</c:v>
                </c:pt>
                <c:pt idx="98">
                  <c:v>449.97</c:v>
                </c:pt>
                <c:pt idx="99">
                  <c:v>1399.98</c:v>
                </c:pt>
                <c:pt idx="100">
                  <c:v>249.99</c:v>
                </c:pt>
                <c:pt idx="101">
                  <c:v>249.99</c:v>
                </c:pt>
                <c:pt idx="102">
                  <c:v>1399.98</c:v>
                </c:pt>
                <c:pt idx="103">
                  <c:v>179.97</c:v>
                </c:pt>
                <c:pt idx="104">
                  <c:v>179.97</c:v>
                </c:pt>
                <c:pt idx="105">
                  <c:v>319.95999999999998</c:v>
                </c:pt>
                <c:pt idx="106">
                  <c:v>79.989999999999995</c:v>
                </c:pt>
                <c:pt idx="107">
                  <c:v>899.97</c:v>
                </c:pt>
                <c:pt idx="108">
                  <c:v>179.98</c:v>
                </c:pt>
                <c:pt idx="109">
                  <c:v>599.96</c:v>
                </c:pt>
                <c:pt idx="110">
                  <c:v>499.98</c:v>
                </c:pt>
                <c:pt idx="111">
                  <c:v>799.96</c:v>
                </c:pt>
                <c:pt idx="112">
                  <c:v>449.95</c:v>
                </c:pt>
                <c:pt idx="113">
                  <c:v>149.99</c:v>
                </c:pt>
                <c:pt idx="114">
                  <c:v>2799.96</c:v>
                </c:pt>
                <c:pt idx="115">
                  <c:v>2699.97</c:v>
                </c:pt>
                <c:pt idx="116">
                  <c:v>449.97</c:v>
                </c:pt>
                <c:pt idx="117">
                  <c:v>599.98</c:v>
                </c:pt>
                <c:pt idx="118">
                  <c:v>199.99</c:v>
                </c:pt>
                <c:pt idx="119">
                  <c:v>1199.96</c:v>
                </c:pt>
                <c:pt idx="120">
                  <c:v>119.98</c:v>
                </c:pt>
                <c:pt idx="121">
                  <c:v>599.96</c:v>
                </c:pt>
                <c:pt idx="122">
                  <c:v>1399.98</c:v>
                </c:pt>
                <c:pt idx="123">
                  <c:v>449.97</c:v>
                </c:pt>
                <c:pt idx="124">
                  <c:v>899.97</c:v>
                </c:pt>
                <c:pt idx="125">
                  <c:v>2699.97</c:v>
                </c:pt>
                <c:pt idx="126">
                  <c:v>3499.95</c:v>
                </c:pt>
                <c:pt idx="127">
                  <c:v>2799.96</c:v>
                </c:pt>
                <c:pt idx="128">
                  <c:v>899.99</c:v>
                </c:pt>
                <c:pt idx="129">
                  <c:v>299.98</c:v>
                </c:pt>
                <c:pt idx="130">
                  <c:v>269.97000000000003</c:v>
                </c:pt>
                <c:pt idx="131">
                  <c:v>299.98</c:v>
                </c:pt>
                <c:pt idx="132">
                  <c:v>1399.98</c:v>
                </c:pt>
                <c:pt idx="133">
                  <c:v>3499.95</c:v>
                </c:pt>
                <c:pt idx="134">
                  <c:v>269.97000000000003</c:v>
                </c:pt>
                <c:pt idx="135">
                  <c:v>1249.95</c:v>
                </c:pt>
                <c:pt idx="136">
                  <c:v>899.97</c:v>
                </c:pt>
                <c:pt idx="137">
                  <c:v>269.97000000000003</c:v>
                </c:pt>
                <c:pt idx="138">
                  <c:v>299.98</c:v>
                </c:pt>
                <c:pt idx="139">
                  <c:v>249.99</c:v>
                </c:pt>
                <c:pt idx="140">
                  <c:v>449.97</c:v>
                </c:pt>
                <c:pt idx="141">
                  <c:v>299.95</c:v>
                </c:pt>
                <c:pt idx="142">
                  <c:v>999.96</c:v>
                </c:pt>
                <c:pt idx="143">
                  <c:v>749.95</c:v>
                </c:pt>
                <c:pt idx="144">
                  <c:v>179.97</c:v>
                </c:pt>
                <c:pt idx="145">
                  <c:v>749.95</c:v>
                </c:pt>
                <c:pt idx="146">
                  <c:v>1399.98</c:v>
                </c:pt>
                <c:pt idx="147">
                  <c:v>799.96</c:v>
                </c:pt>
                <c:pt idx="148">
                  <c:v>59.99</c:v>
                </c:pt>
                <c:pt idx="149">
                  <c:v>2099.9699999999998</c:v>
                </c:pt>
                <c:pt idx="150">
                  <c:v>1249.95</c:v>
                </c:pt>
                <c:pt idx="151">
                  <c:v>299.98</c:v>
                </c:pt>
                <c:pt idx="152">
                  <c:v>899.97</c:v>
                </c:pt>
                <c:pt idx="153">
                  <c:v>1249.95</c:v>
                </c:pt>
                <c:pt idx="154">
                  <c:v>299.98</c:v>
                </c:pt>
                <c:pt idx="155">
                  <c:v>3499.95</c:v>
                </c:pt>
                <c:pt idx="156">
                  <c:v>999.96</c:v>
                </c:pt>
                <c:pt idx="157">
                  <c:v>2799.96</c:v>
                </c:pt>
                <c:pt idx="158">
                  <c:v>499.98</c:v>
                </c:pt>
                <c:pt idx="159">
                  <c:v>179.97</c:v>
                </c:pt>
                <c:pt idx="160">
                  <c:v>319.95999999999998</c:v>
                </c:pt>
                <c:pt idx="161">
                  <c:v>239.97</c:v>
                </c:pt>
                <c:pt idx="162">
                  <c:v>1799.98</c:v>
                </c:pt>
                <c:pt idx="163">
                  <c:v>149.99</c:v>
                </c:pt>
                <c:pt idx="164">
                  <c:v>599.98</c:v>
                </c:pt>
                <c:pt idx="165">
                  <c:v>119.98</c:v>
                </c:pt>
                <c:pt idx="166">
                  <c:v>89.99</c:v>
                </c:pt>
                <c:pt idx="167">
                  <c:v>4499.95</c:v>
                </c:pt>
                <c:pt idx="168">
                  <c:v>299.98</c:v>
                </c:pt>
                <c:pt idx="169">
                  <c:v>299.98</c:v>
                </c:pt>
                <c:pt idx="170">
                  <c:v>449.97</c:v>
                </c:pt>
                <c:pt idx="171">
                  <c:v>599.98</c:v>
                </c:pt>
                <c:pt idx="172">
                  <c:v>599.98</c:v>
                </c:pt>
                <c:pt idx="173">
                  <c:v>799.96</c:v>
                </c:pt>
                <c:pt idx="174">
                  <c:v>89.99</c:v>
                </c:pt>
                <c:pt idx="175">
                  <c:v>749.95</c:v>
                </c:pt>
                <c:pt idx="176">
                  <c:v>899.99</c:v>
                </c:pt>
                <c:pt idx="177">
                  <c:v>179.98</c:v>
                </c:pt>
                <c:pt idx="178">
                  <c:v>899.99</c:v>
                </c:pt>
                <c:pt idx="179">
                  <c:v>749.95</c:v>
                </c:pt>
                <c:pt idx="180">
                  <c:v>899.97</c:v>
                </c:pt>
                <c:pt idx="181">
                  <c:v>2099.9699999999998</c:v>
                </c:pt>
                <c:pt idx="182">
                  <c:v>999.95</c:v>
                </c:pt>
                <c:pt idx="183">
                  <c:v>1249.95</c:v>
                </c:pt>
                <c:pt idx="184">
                  <c:v>599.96</c:v>
                </c:pt>
                <c:pt idx="185">
                  <c:v>2099.9699999999998</c:v>
                </c:pt>
                <c:pt idx="186">
                  <c:v>79.989999999999995</c:v>
                </c:pt>
                <c:pt idx="187">
                  <c:v>299.99</c:v>
                </c:pt>
                <c:pt idx="188">
                  <c:v>999.96</c:v>
                </c:pt>
                <c:pt idx="189">
                  <c:v>299.98</c:v>
                </c:pt>
                <c:pt idx="190">
                  <c:v>899.97</c:v>
                </c:pt>
                <c:pt idx="191">
                  <c:v>799.96</c:v>
                </c:pt>
                <c:pt idx="192">
                  <c:v>1499.95</c:v>
                </c:pt>
                <c:pt idx="193">
                  <c:v>449.97</c:v>
                </c:pt>
                <c:pt idx="194">
                  <c:v>299.95</c:v>
                </c:pt>
                <c:pt idx="195">
                  <c:v>239.96</c:v>
                </c:pt>
                <c:pt idx="196">
                  <c:v>999.96</c:v>
                </c:pt>
                <c:pt idx="197">
                  <c:v>3599.96</c:v>
                </c:pt>
                <c:pt idx="198">
                  <c:v>899.97</c:v>
                </c:pt>
                <c:pt idx="199">
                  <c:v>1399.98</c:v>
                </c:pt>
                <c:pt idx="200">
                  <c:v>2799.96</c:v>
                </c:pt>
                <c:pt idx="201">
                  <c:v>179.98</c:v>
                </c:pt>
                <c:pt idx="202">
                  <c:v>269.97000000000003</c:v>
                </c:pt>
                <c:pt idx="203">
                  <c:v>59.99</c:v>
                </c:pt>
                <c:pt idx="204">
                  <c:v>449.97</c:v>
                </c:pt>
                <c:pt idx="205">
                  <c:v>1499.95</c:v>
                </c:pt>
                <c:pt idx="206">
                  <c:v>299.95</c:v>
                </c:pt>
                <c:pt idx="207">
                  <c:v>239.97</c:v>
                </c:pt>
                <c:pt idx="208">
                  <c:v>599.97</c:v>
                </c:pt>
                <c:pt idx="209">
                  <c:v>179.98</c:v>
                </c:pt>
                <c:pt idx="210">
                  <c:v>299.98</c:v>
                </c:pt>
                <c:pt idx="211">
                  <c:v>3499.95</c:v>
                </c:pt>
                <c:pt idx="212">
                  <c:v>449.97</c:v>
                </c:pt>
                <c:pt idx="213">
                  <c:v>2699.97</c:v>
                </c:pt>
                <c:pt idx="214">
                  <c:v>599.97</c:v>
                </c:pt>
                <c:pt idx="215">
                  <c:v>1499.95</c:v>
                </c:pt>
                <c:pt idx="216">
                  <c:v>699.99</c:v>
                </c:pt>
                <c:pt idx="217">
                  <c:v>699.99</c:v>
                </c:pt>
                <c:pt idx="218">
                  <c:v>599.96</c:v>
                </c:pt>
                <c:pt idx="219">
                  <c:v>449.95</c:v>
                </c:pt>
                <c:pt idx="220">
                  <c:v>399.98</c:v>
                </c:pt>
                <c:pt idx="221">
                  <c:v>239.96</c:v>
                </c:pt>
                <c:pt idx="222">
                  <c:v>599.98</c:v>
                </c:pt>
                <c:pt idx="223">
                  <c:v>299.98</c:v>
                </c:pt>
                <c:pt idx="224">
                  <c:v>3499.95</c:v>
                </c:pt>
                <c:pt idx="225">
                  <c:v>299.95</c:v>
                </c:pt>
                <c:pt idx="226">
                  <c:v>179.98</c:v>
                </c:pt>
                <c:pt idx="227">
                  <c:v>1249.95</c:v>
                </c:pt>
                <c:pt idx="228">
                  <c:v>299.98</c:v>
                </c:pt>
                <c:pt idx="229">
                  <c:v>4499.95</c:v>
                </c:pt>
                <c:pt idx="230">
                  <c:v>599.96</c:v>
                </c:pt>
                <c:pt idx="231">
                  <c:v>249.99</c:v>
                </c:pt>
                <c:pt idx="232">
                  <c:v>119.98</c:v>
                </c:pt>
                <c:pt idx="233">
                  <c:v>299.98</c:v>
                </c:pt>
                <c:pt idx="234">
                  <c:v>2699.97</c:v>
                </c:pt>
                <c:pt idx="235">
                  <c:v>2699.97</c:v>
                </c:pt>
                <c:pt idx="236">
                  <c:v>899.97</c:v>
                </c:pt>
                <c:pt idx="237">
                  <c:v>599.96</c:v>
                </c:pt>
                <c:pt idx="238">
                  <c:v>319.95999999999998</c:v>
                </c:pt>
                <c:pt idx="239">
                  <c:v>449.95</c:v>
                </c:pt>
                <c:pt idx="240">
                  <c:v>449.97</c:v>
                </c:pt>
                <c:pt idx="241">
                  <c:v>179.98</c:v>
                </c:pt>
                <c:pt idx="242">
                  <c:v>1399.98</c:v>
                </c:pt>
                <c:pt idx="243">
                  <c:v>2699.97</c:v>
                </c:pt>
                <c:pt idx="244">
                  <c:v>239.97</c:v>
                </c:pt>
                <c:pt idx="245">
                  <c:v>89.99</c:v>
                </c:pt>
                <c:pt idx="246">
                  <c:v>2099.9699999999998</c:v>
                </c:pt>
                <c:pt idx="247">
                  <c:v>179.98</c:v>
                </c:pt>
                <c:pt idx="248">
                  <c:v>269.97000000000003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E1-4BEB-B881-D435D49BB7A2}"/>
            </c:ext>
          </c:extLst>
        </c:ser>
        <c:ser>
          <c:idx val="1"/>
          <c:order val="1"/>
          <c:tx>
            <c:v>Predicted 749.97</c:v>
          </c:tx>
          <c:spPr>
            <a:ln w="19050">
              <a:noFill/>
            </a:ln>
          </c:spPr>
          <c:xVal>
            <c:numRef>
              <c:f>'raw data'!$H$3:$H$251</c:f>
              <c:numCache>
                <c:formatCode>General</c:formatCode>
                <c:ptCount val="24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5</c:v>
                </c:pt>
                <c:pt idx="27">
                  <c:v>2</c:v>
                </c:pt>
                <c:pt idx="28">
                  <c:v>4</c:v>
                </c:pt>
                <c:pt idx="29">
                  <c:v>5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5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5</c:v>
                </c:pt>
                <c:pt idx="42">
                  <c:v>5</c:v>
                </c:pt>
                <c:pt idx="43">
                  <c:v>1</c:v>
                </c:pt>
                <c:pt idx="44">
                  <c:v>2</c:v>
                </c:pt>
                <c:pt idx="45">
                  <c:v>4</c:v>
                </c:pt>
                <c:pt idx="46">
                  <c:v>5</c:v>
                </c:pt>
                <c:pt idx="47">
                  <c:v>2</c:v>
                </c:pt>
                <c:pt idx="48">
                  <c:v>5</c:v>
                </c:pt>
                <c:pt idx="49">
                  <c:v>5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1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5</c:v>
                </c:pt>
                <c:pt idx="62">
                  <c:v>1</c:v>
                </c:pt>
                <c:pt idx="63">
                  <c:v>2</c:v>
                </c:pt>
                <c:pt idx="64">
                  <c:v>5</c:v>
                </c:pt>
                <c:pt idx="65">
                  <c:v>4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1</c:v>
                </c:pt>
                <c:pt idx="73">
                  <c:v>5</c:v>
                </c:pt>
                <c:pt idx="74">
                  <c:v>2</c:v>
                </c:pt>
                <c:pt idx="75">
                  <c:v>4</c:v>
                </c:pt>
                <c:pt idx="76">
                  <c:v>2</c:v>
                </c:pt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2</c:v>
                </c:pt>
                <c:pt idx="81">
                  <c:v>4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5</c:v>
                </c:pt>
                <c:pt idx="86">
                  <c:v>4</c:v>
                </c:pt>
                <c:pt idx="87">
                  <c:v>5</c:v>
                </c:pt>
                <c:pt idx="88">
                  <c:v>3</c:v>
                </c:pt>
                <c:pt idx="89">
                  <c:v>4</c:v>
                </c:pt>
                <c:pt idx="90">
                  <c:v>5</c:v>
                </c:pt>
                <c:pt idx="91">
                  <c:v>2</c:v>
                </c:pt>
                <c:pt idx="92">
                  <c:v>5</c:v>
                </c:pt>
                <c:pt idx="93">
                  <c:v>3</c:v>
                </c:pt>
                <c:pt idx="94">
                  <c:v>5</c:v>
                </c:pt>
                <c:pt idx="95">
                  <c:v>3</c:v>
                </c:pt>
                <c:pt idx="96">
                  <c:v>2</c:v>
                </c:pt>
                <c:pt idx="97">
                  <c:v>1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1</c:v>
                </c:pt>
                <c:pt idx="107">
                  <c:v>3</c:v>
                </c:pt>
                <c:pt idx="108">
                  <c:v>2</c:v>
                </c:pt>
                <c:pt idx="109">
                  <c:v>4</c:v>
                </c:pt>
                <c:pt idx="110">
                  <c:v>2</c:v>
                </c:pt>
                <c:pt idx="111">
                  <c:v>4</c:v>
                </c:pt>
                <c:pt idx="112">
                  <c:v>5</c:v>
                </c:pt>
                <c:pt idx="113">
                  <c:v>1</c:v>
                </c:pt>
                <c:pt idx="114">
                  <c:v>4</c:v>
                </c:pt>
                <c:pt idx="115">
                  <c:v>3</c:v>
                </c:pt>
                <c:pt idx="116">
                  <c:v>3</c:v>
                </c:pt>
                <c:pt idx="117">
                  <c:v>2</c:v>
                </c:pt>
                <c:pt idx="118">
                  <c:v>1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5</c:v>
                </c:pt>
                <c:pt idx="127">
                  <c:v>4</c:v>
                </c:pt>
                <c:pt idx="128">
                  <c:v>1</c:v>
                </c:pt>
                <c:pt idx="129">
                  <c:v>2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5</c:v>
                </c:pt>
                <c:pt idx="134">
                  <c:v>3</c:v>
                </c:pt>
                <c:pt idx="135">
                  <c:v>5</c:v>
                </c:pt>
                <c:pt idx="136">
                  <c:v>3</c:v>
                </c:pt>
                <c:pt idx="137">
                  <c:v>3</c:v>
                </c:pt>
                <c:pt idx="138">
                  <c:v>2</c:v>
                </c:pt>
                <c:pt idx="139">
                  <c:v>1</c:v>
                </c:pt>
                <c:pt idx="140">
                  <c:v>3</c:v>
                </c:pt>
                <c:pt idx="141">
                  <c:v>5</c:v>
                </c:pt>
                <c:pt idx="142">
                  <c:v>4</c:v>
                </c:pt>
                <c:pt idx="143">
                  <c:v>5</c:v>
                </c:pt>
                <c:pt idx="144">
                  <c:v>3</c:v>
                </c:pt>
                <c:pt idx="145">
                  <c:v>5</c:v>
                </c:pt>
                <c:pt idx="146">
                  <c:v>2</c:v>
                </c:pt>
                <c:pt idx="147">
                  <c:v>4</c:v>
                </c:pt>
                <c:pt idx="148">
                  <c:v>1</c:v>
                </c:pt>
                <c:pt idx="149">
                  <c:v>3</c:v>
                </c:pt>
                <c:pt idx="150">
                  <c:v>5</c:v>
                </c:pt>
                <c:pt idx="151">
                  <c:v>2</c:v>
                </c:pt>
                <c:pt idx="152">
                  <c:v>3</c:v>
                </c:pt>
                <c:pt idx="153">
                  <c:v>5</c:v>
                </c:pt>
                <c:pt idx="154">
                  <c:v>2</c:v>
                </c:pt>
                <c:pt idx="155">
                  <c:v>5</c:v>
                </c:pt>
                <c:pt idx="156">
                  <c:v>4</c:v>
                </c:pt>
                <c:pt idx="157">
                  <c:v>4</c:v>
                </c:pt>
                <c:pt idx="158">
                  <c:v>2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2</c:v>
                </c:pt>
                <c:pt idx="163">
                  <c:v>1</c:v>
                </c:pt>
                <c:pt idx="164">
                  <c:v>2</c:v>
                </c:pt>
                <c:pt idx="165">
                  <c:v>2</c:v>
                </c:pt>
                <c:pt idx="166">
                  <c:v>1</c:v>
                </c:pt>
                <c:pt idx="167">
                  <c:v>5</c:v>
                </c:pt>
                <c:pt idx="168">
                  <c:v>2</c:v>
                </c:pt>
                <c:pt idx="169">
                  <c:v>2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4</c:v>
                </c:pt>
                <c:pt idx="174">
                  <c:v>1</c:v>
                </c:pt>
                <c:pt idx="175">
                  <c:v>5</c:v>
                </c:pt>
                <c:pt idx="176">
                  <c:v>1</c:v>
                </c:pt>
                <c:pt idx="177">
                  <c:v>2</c:v>
                </c:pt>
                <c:pt idx="178">
                  <c:v>1</c:v>
                </c:pt>
                <c:pt idx="179">
                  <c:v>5</c:v>
                </c:pt>
                <c:pt idx="180">
                  <c:v>3</c:v>
                </c:pt>
                <c:pt idx="181">
                  <c:v>3</c:v>
                </c:pt>
                <c:pt idx="182">
                  <c:v>5</c:v>
                </c:pt>
                <c:pt idx="183">
                  <c:v>5</c:v>
                </c:pt>
                <c:pt idx="184">
                  <c:v>4</c:v>
                </c:pt>
                <c:pt idx="185">
                  <c:v>3</c:v>
                </c:pt>
                <c:pt idx="186">
                  <c:v>1</c:v>
                </c:pt>
                <c:pt idx="187">
                  <c:v>1</c:v>
                </c:pt>
                <c:pt idx="188">
                  <c:v>4</c:v>
                </c:pt>
                <c:pt idx="189">
                  <c:v>2</c:v>
                </c:pt>
                <c:pt idx="190">
                  <c:v>3</c:v>
                </c:pt>
                <c:pt idx="191">
                  <c:v>4</c:v>
                </c:pt>
                <c:pt idx="192">
                  <c:v>5</c:v>
                </c:pt>
                <c:pt idx="193">
                  <c:v>3</c:v>
                </c:pt>
                <c:pt idx="194">
                  <c:v>5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3</c:v>
                </c:pt>
                <c:pt idx="199">
                  <c:v>2</c:v>
                </c:pt>
                <c:pt idx="200">
                  <c:v>4</c:v>
                </c:pt>
                <c:pt idx="201">
                  <c:v>2</c:v>
                </c:pt>
                <c:pt idx="202">
                  <c:v>3</c:v>
                </c:pt>
                <c:pt idx="203">
                  <c:v>1</c:v>
                </c:pt>
                <c:pt idx="204">
                  <c:v>3</c:v>
                </c:pt>
                <c:pt idx="205">
                  <c:v>5</c:v>
                </c:pt>
                <c:pt idx="206">
                  <c:v>5</c:v>
                </c:pt>
                <c:pt idx="207">
                  <c:v>3</c:v>
                </c:pt>
                <c:pt idx="208">
                  <c:v>3</c:v>
                </c:pt>
                <c:pt idx="209">
                  <c:v>2</c:v>
                </c:pt>
                <c:pt idx="210">
                  <c:v>2</c:v>
                </c:pt>
                <c:pt idx="211">
                  <c:v>5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5</c:v>
                </c:pt>
                <c:pt idx="216">
                  <c:v>1</c:v>
                </c:pt>
                <c:pt idx="217">
                  <c:v>1</c:v>
                </c:pt>
                <c:pt idx="218">
                  <c:v>4</c:v>
                </c:pt>
                <c:pt idx="219">
                  <c:v>5</c:v>
                </c:pt>
                <c:pt idx="220">
                  <c:v>2</c:v>
                </c:pt>
                <c:pt idx="221">
                  <c:v>4</c:v>
                </c:pt>
                <c:pt idx="222">
                  <c:v>2</c:v>
                </c:pt>
                <c:pt idx="223">
                  <c:v>2</c:v>
                </c:pt>
                <c:pt idx="224">
                  <c:v>5</c:v>
                </c:pt>
                <c:pt idx="225">
                  <c:v>5</c:v>
                </c:pt>
                <c:pt idx="226">
                  <c:v>2</c:v>
                </c:pt>
                <c:pt idx="227">
                  <c:v>5</c:v>
                </c:pt>
                <c:pt idx="228">
                  <c:v>2</c:v>
                </c:pt>
                <c:pt idx="229">
                  <c:v>5</c:v>
                </c:pt>
                <c:pt idx="230">
                  <c:v>4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4</c:v>
                </c:pt>
                <c:pt idx="238">
                  <c:v>4</c:v>
                </c:pt>
                <c:pt idx="239">
                  <c:v>5</c:v>
                </c:pt>
                <c:pt idx="240">
                  <c:v>3</c:v>
                </c:pt>
                <c:pt idx="241">
                  <c:v>2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1</c:v>
                </c:pt>
                <c:pt idx="246">
                  <c:v>3</c:v>
                </c:pt>
                <c:pt idx="247">
                  <c:v>2</c:v>
                </c:pt>
                <c:pt idx="248">
                  <c:v>3</c:v>
                </c:pt>
              </c:numCache>
            </c:numRef>
          </c:xVal>
          <c:yVal>
            <c:numRef>
              <c:f>Regression!$B$25:$B$273</c:f>
              <c:numCache>
                <c:formatCode>General</c:formatCode>
                <c:ptCount val="249"/>
                <c:pt idx="0">
                  <c:v>913.17724574894521</c:v>
                </c:pt>
                <c:pt idx="1">
                  <c:v>913.17724574894521</c:v>
                </c:pt>
                <c:pt idx="2">
                  <c:v>913.17724574894521</c:v>
                </c:pt>
                <c:pt idx="3">
                  <c:v>1620.75445142424</c:v>
                </c:pt>
                <c:pt idx="4">
                  <c:v>559.38864291129789</c:v>
                </c:pt>
                <c:pt idx="5">
                  <c:v>1620.75445142424</c:v>
                </c:pt>
                <c:pt idx="6">
                  <c:v>913.17724574894521</c:v>
                </c:pt>
                <c:pt idx="7">
                  <c:v>913.17724574894521</c:v>
                </c:pt>
                <c:pt idx="8">
                  <c:v>913.17724574894521</c:v>
                </c:pt>
                <c:pt idx="9">
                  <c:v>205.60004007365052</c:v>
                </c:pt>
                <c:pt idx="10">
                  <c:v>1620.75445142424</c:v>
                </c:pt>
                <c:pt idx="11">
                  <c:v>913.17724574894521</c:v>
                </c:pt>
                <c:pt idx="12">
                  <c:v>913.17724574894521</c:v>
                </c:pt>
                <c:pt idx="13">
                  <c:v>913.17724574894521</c:v>
                </c:pt>
                <c:pt idx="14">
                  <c:v>205.60004007365052</c:v>
                </c:pt>
                <c:pt idx="15">
                  <c:v>1266.9658485865925</c:v>
                </c:pt>
                <c:pt idx="16">
                  <c:v>559.38864291129789</c:v>
                </c:pt>
                <c:pt idx="17">
                  <c:v>1266.9658485865925</c:v>
                </c:pt>
                <c:pt idx="18">
                  <c:v>913.17724574894521</c:v>
                </c:pt>
                <c:pt idx="19">
                  <c:v>1620.75445142424</c:v>
                </c:pt>
                <c:pt idx="20">
                  <c:v>1266.9658485865925</c:v>
                </c:pt>
                <c:pt idx="21">
                  <c:v>1266.9658485865925</c:v>
                </c:pt>
                <c:pt idx="22">
                  <c:v>1266.9658485865925</c:v>
                </c:pt>
                <c:pt idx="23">
                  <c:v>1620.75445142424</c:v>
                </c:pt>
                <c:pt idx="24">
                  <c:v>1620.75445142424</c:v>
                </c:pt>
                <c:pt idx="25">
                  <c:v>913.17724574894521</c:v>
                </c:pt>
                <c:pt idx="26">
                  <c:v>1620.75445142424</c:v>
                </c:pt>
                <c:pt idx="27">
                  <c:v>559.38864291129789</c:v>
                </c:pt>
                <c:pt idx="28">
                  <c:v>1266.9658485865925</c:v>
                </c:pt>
                <c:pt idx="29">
                  <c:v>1620.75445142424</c:v>
                </c:pt>
                <c:pt idx="30">
                  <c:v>559.38864291129789</c:v>
                </c:pt>
                <c:pt idx="31">
                  <c:v>913.17724574894521</c:v>
                </c:pt>
                <c:pt idx="32">
                  <c:v>205.60004007365052</c:v>
                </c:pt>
                <c:pt idx="33">
                  <c:v>913.17724574894521</c:v>
                </c:pt>
                <c:pt idx="34">
                  <c:v>913.17724574894521</c:v>
                </c:pt>
                <c:pt idx="35">
                  <c:v>913.17724574894521</c:v>
                </c:pt>
                <c:pt idx="36">
                  <c:v>1620.75445142424</c:v>
                </c:pt>
                <c:pt idx="37">
                  <c:v>913.17724574894521</c:v>
                </c:pt>
                <c:pt idx="38">
                  <c:v>205.60004007365052</c:v>
                </c:pt>
                <c:pt idx="39">
                  <c:v>559.38864291129789</c:v>
                </c:pt>
                <c:pt idx="40">
                  <c:v>205.60004007365052</c:v>
                </c:pt>
                <c:pt idx="41">
                  <c:v>1620.75445142424</c:v>
                </c:pt>
                <c:pt idx="42">
                  <c:v>1620.75445142424</c:v>
                </c:pt>
                <c:pt idx="43">
                  <c:v>205.60004007365052</c:v>
                </c:pt>
                <c:pt idx="44">
                  <c:v>559.38864291129789</c:v>
                </c:pt>
                <c:pt idx="45">
                  <c:v>1266.9658485865925</c:v>
                </c:pt>
                <c:pt idx="46">
                  <c:v>1620.75445142424</c:v>
                </c:pt>
                <c:pt idx="47">
                  <c:v>559.38864291129789</c:v>
                </c:pt>
                <c:pt idx="48">
                  <c:v>1620.75445142424</c:v>
                </c:pt>
                <c:pt idx="49">
                  <c:v>1620.75445142424</c:v>
                </c:pt>
                <c:pt idx="50">
                  <c:v>205.60004007365052</c:v>
                </c:pt>
                <c:pt idx="51">
                  <c:v>559.38864291129789</c:v>
                </c:pt>
                <c:pt idx="52">
                  <c:v>1266.9658485865925</c:v>
                </c:pt>
                <c:pt idx="53">
                  <c:v>205.60004007365052</c:v>
                </c:pt>
                <c:pt idx="54">
                  <c:v>559.38864291129789</c:v>
                </c:pt>
                <c:pt idx="55">
                  <c:v>913.17724574894521</c:v>
                </c:pt>
                <c:pt idx="56">
                  <c:v>1266.9658485865925</c:v>
                </c:pt>
                <c:pt idx="57">
                  <c:v>205.60004007365052</c:v>
                </c:pt>
                <c:pt idx="58">
                  <c:v>559.38864291129789</c:v>
                </c:pt>
                <c:pt idx="59">
                  <c:v>205.60004007365052</c:v>
                </c:pt>
                <c:pt idx="60">
                  <c:v>205.60004007365052</c:v>
                </c:pt>
                <c:pt idx="61">
                  <c:v>1620.75445142424</c:v>
                </c:pt>
                <c:pt idx="62">
                  <c:v>205.60004007365052</c:v>
                </c:pt>
                <c:pt idx="63">
                  <c:v>559.38864291129789</c:v>
                </c:pt>
                <c:pt idx="64">
                  <c:v>1620.75445142424</c:v>
                </c:pt>
                <c:pt idx="65">
                  <c:v>1266.9658485865925</c:v>
                </c:pt>
                <c:pt idx="66">
                  <c:v>205.60004007365052</c:v>
                </c:pt>
                <c:pt idx="67">
                  <c:v>205.60004007365052</c:v>
                </c:pt>
                <c:pt idx="68">
                  <c:v>559.38864291129789</c:v>
                </c:pt>
                <c:pt idx="69">
                  <c:v>913.17724574894521</c:v>
                </c:pt>
                <c:pt idx="70">
                  <c:v>913.17724574894521</c:v>
                </c:pt>
                <c:pt idx="71">
                  <c:v>913.17724574894521</c:v>
                </c:pt>
                <c:pt idx="72">
                  <c:v>205.60004007365052</c:v>
                </c:pt>
                <c:pt idx="73">
                  <c:v>1620.75445142424</c:v>
                </c:pt>
                <c:pt idx="74">
                  <c:v>559.38864291129789</c:v>
                </c:pt>
                <c:pt idx="75">
                  <c:v>1266.9658485865925</c:v>
                </c:pt>
                <c:pt idx="76">
                  <c:v>559.38864291129789</c:v>
                </c:pt>
                <c:pt idx="77">
                  <c:v>205.60004007365052</c:v>
                </c:pt>
                <c:pt idx="78">
                  <c:v>559.38864291129789</c:v>
                </c:pt>
                <c:pt idx="79">
                  <c:v>913.17724574894521</c:v>
                </c:pt>
                <c:pt idx="80">
                  <c:v>559.38864291129789</c:v>
                </c:pt>
                <c:pt idx="81">
                  <c:v>1266.9658485865925</c:v>
                </c:pt>
                <c:pt idx="82">
                  <c:v>559.38864291129789</c:v>
                </c:pt>
                <c:pt idx="83">
                  <c:v>559.38864291129789</c:v>
                </c:pt>
                <c:pt idx="84">
                  <c:v>205.60004007365052</c:v>
                </c:pt>
                <c:pt idx="85">
                  <c:v>1620.75445142424</c:v>
                </c:pt>
                <c:pt idx="86">
                  <c:v>1266.9658485865925</c:v>
                </c:pt>
                <c:pt idx="87">
                  <c:v>1620.75445142424</c:v>
                </c:pt>
                <c:pt idx="88">
                  <c:v>913.17724574894521</c:v>
                </c:pt>
                <c:pt idx="89">
                  <c:v>1266.9658485865925</c:v>
                </c:pt>
                <c:pt idx="90">
                  <c:v>1620.75445142424</c:v>
                </c:pt>
                <c:pt idx="91">
                  <c:v>559.38864291129789</c:v>
                </c:pt>
                <c:pt idx="92">
                  <c:v>1620.75445142424</c:v>
                </c:pt>
                <c:pt idx="93">
                  <c:v>913.17724574894521</c:v>
                </c:pt>
                <c:pt idx="94">
                  <c:v>1620.75445142424</c:v>
                </c:pt>
                <c:pt idx="95">
                  <c:v>913.17724574894521</c:v>
                </c:pt>
                <c:pt idx="96">
                  <c:v>559.38864291129789</c:v>
                </c:pt>
                <c:pt idx="97">
                  <c:v>205.60004007365052</c:v>
                </c:pt>
                <c:pt idx="98">
                  <c:v>913.17724574894521</c:v>
                </c:pt>
                <c:pt idx="99">
                  <c:v>559.38864291129789</c:v>
                </c:pt>
                <c:pt idx="100">
                  <c:v>205.60004007365052</c:v>
                </c:pt>
                <c:pt idx="101">
                  <c:v>205.60004007365052</c:v>
                </c:pt>
                <c:pt idx="102">
                  <c:v>559.38864291129789</c:v>
                </c:pt>
                <c:pt idx="103">
                  <c:v>913.17724574894521</c:v>
                </c:pt>
                <c:pt idx="104">
                  <c:v>913.17724574894521</c:v>
                </c:pt>
                <c:pt idx="105">
                  <c:v>1266.9658485865925</c:v>
                </c:pt>
                <c:pt idx="106">
                  <c:v>205.60004007365052</c:v>
                </c:pt>
                <c:pt idx="107">
                  <c:v>913.17724574894521</c:v>
                </c:pt>
                <c:pt idx="108">
                  <c:v>559.38864291129789</c:v>
                </c:pt>
                <c:pt idx="109">
                  <c:v>1266.9658485865925</c:v>
                </c:pt>
                <c:pt idx="110">
                  <c:v>559.38864291129789</c:v>
                </c:pt>
                <c:pt idx="111">
                  <c:v>1266.9658485865925</c:v>
                </c:pt>
                <c:pt idx="112">
                  <c:v>1620.75445142424</c:v>
                </c:pt>
                <c:pt idx="113">
                  <c:v>205.60004007365052</c:v>
                </c:pt>
                <c:pt idx="114">
                  <c:v>1266.9658485865925</c:v>
                </c:pt>
                <c:pt idx="115">
                  <c:v>913.17724574894521</c:v>
                </c:pt>
                <c:pt idx="116">
                  <c:v>913.17724574894521</c:v>
                </c:pt>
                <c:pt idx="117">
                  <c:v>559.38864291129789</c:v>
                </c:pt>
                <c:pt idx="118">
                  <c:v>205.60004007365052</c:v>
                </c:pt>
                <c:pt idx="119">
                  <c:v>1266.9658485865925</c:v>
                </c:pt>
                <c:pt idx="120">
                  <c:v>559.38864291129789</c:v>
                </c:pt>
                <c:pt idx="121">
                  <c:v>1266.9658485865925</c:v>
                </c:pt>
                <c:pt idx="122">
                  <c:v>559.38864291129789</c:v>
                </c:pt>
                <c:pt idx="123">
                  <c:v>913.17724574894521</c:v>
                </c:pt>
                <c:pt idx="124">
                  <c:v>913.17724574894521</c:v>
                </c:pt>
                <c:pt idx="125">
                  <c:v>913.17724574894521</c:v>
                </c:pt>
                <c:pt idx="126">
                  <c:v>1620.75445142424</c:v>
                </c:pt>
                <c:pt idx="127">
                  <c:v>1266.9658485865925</c:v>
                </c:pt>
                <c:pt idx="128">
                  <c:v>205.60004007365052</c:v>
                </c:pt>
                <c:pt idx="129">
                  <c:v>559.38864291129789</c:v>
                </c:pt>
                <c:pt idx="130">
                  <c:v>913.17724574894521</c:v>
                </c:pt>
                <c:pt idx="131">
                  <c:v>559.38864291129789</c:v>
                </c:pt>
                <c:pt idx="132">
                  <c:v>559.38864291129789</c:v>
                </c:pt>
                <c:pt idx="133">
                  <c:v>1620.75445142424</c:v>
                </c:pt>
                <c:pt idx="134">
                  <c:v>913.17724574894521</c:v>
                </c:pt>
                <c:pt idx="135">
                  <c:v>1620.75445142424</c:v>
                </c:pt>
                <c:pt idx="136">
                  <c:v>913.17724574894521</c:v>
                </c:pt>
                <c:pt idx="137">
                  <c:v>913.17724574894521</c:v>
                </c:pt>
                <c:pt idx="138">
                  <c:v>559.38864291129789</c:v>
                </c:pt>
                <c:pt idx="139">
                  <c:v>205.60004007365052</c:v>
                </c:pt>
                <c:pt idx="140">
                  <c:v>913.17724574894521</c:v>
                </c:pt>
                <c:pt idx="141">
                  <c:v>1620.75445142424</c:v>
                </c:pt>
                <c:pt idx="142">
                  <c:v>1266.9658485865925</c:v>
                </c:pt>
                <c:pt idx="143">
                  <c:v>1620.75445142424</c:v>
                </c:pt>
                <c:pt idx="144">
                  <c:v>913.17724574894521</c:v>
                </c:pt>
                <c:pt idx="145">
                  <c:v>1620.75445142424</c:v>
                </c:pt>
                <c:pt idx="146">
                  <c:v>559.38864291129789</c:v>
                </c:pt>
                <c:pt idx="147">
                  <c:v>1266.9658485865925</c:v>
                </c:pt>
                <c:pt idx="148">
                  <c:v>205.60004007365052</c:v>
                </c:pt>
                <c:pt idx="149">
                  <c:v>913.17724574894521</c:v>
                </c:pt>
                <c:pt idx="150">
                  <c:v>1620.75445142424</c:v>
                </c:pt>
                <c:pt idx="151">
                  <c:v>559.38864291129789</c:v>
                </c:pt>
                <c:pt idx="152">
                  <c:v>913.17724574894521</c:v>
                </c:pt>
                <c:pt idx="153">
                  <c:v>1620.75445142424</c:v>
                </c:pt>
                <c:pt idx="154">
                  <c:v>559.38864291129789</c:v>
                </c:pt>
                <c:pt idx="155">
                  <c:v>1620.75445142424</c:v>
                </c:pt>
                <c:pt idx="156">
                  <c:v>1266.9658485865925</c:v>
                </c:pt>
                <c:pt idx="157">
                  <c:v>1266.9658485865925</c:v>
                </c:pt>
                <c:pt idx="158">
                  <c:v>559.38864291129789</c:v>
                </c:pt>
                <c:pt idx="159">
                  <c:v>913.17724574894521</c:v>
                </c:pt>
                <c:pt idx="160">
                  <c:v>1266.9658485865925</c:v>
                </c:pt>
                <c:pt idx="161">
                  <c:v>913.17724574894521</c:v>
                </c:pt>
                <c:pt idx="162">
                  <c:v>559.38864291129789</c:v>
                </c:pt>
                <c:pt idx="163">
                  <c:v>205.60004007365052</c:v>
                </c:pt>
                <c:pt idx="164">
                  <c:v>559.38864291129789</c:v>
                </c:pt>
                <c:pt idx="165">
                  <c:v>559.38864291129789</c:v>
                </c:pt>
                <c:pt idx="166">
                  <c:v>205.60004007365052</c:v>
                </c:pt>
                <c:pt idx="167">
                  <c:v>1620.75445142424</c:v>
                </c:pt>
                <c:pt idx="168">
                  <c:v>559.38864291129789</c:v>
                </c:pt>
                <c:pt idx="169">
                  <c:v>559.38864291129789</c:v>
                </c:pt>
                <c:pt idx="170">
                  <c:v>913.17724574894521</c:v>
                </c:pt>
                <c:pt idx="171">
                  <c:v>559.38864291129789</c:v>
                </c:pt>
                <c:pt idx="172">
                  <c:v>559.38864291129789</c:v>
                </c:pt>
                <c:pt idx="173">
                  <c:v>1266.9658485865925</c:v>
                </c:pt>
                <c:pt idx="174">
                  <c:v>205.60004007365052</c:v>
                </c:pt>
                <c:pt idx="175">
                  <c:v>1620.75445142424</c:v>
                </c:pt>
                <c:pt idx="176">
                  <c:v>205.60004007365052</c:v>
                </c:pt>
                <c:pt idx="177">
                  <c:v>559.38864291129789</c:v>
                </c:pt>
                <c:pt idx="178">
                  <c:v>205.60004007365052</c:v>
                </c:pt>
                <c:pt idx="179">
                  <c:v>1620.75445142424</c:v>
                </c:pt>
                <c:pt idx="180">
                  <c:v>913.17724574894521</c:v>
                </c:pt>
                <c:pt idx="181">
                  <c:v>913.17724574894521</c:v>
                </c:pt>
                <c:pt idx="182">
                  <c:v>1620.75445142424</c:v>
                </c:pt>
                <c:pt idx="183">
                  <c:v>1620.75445142424</c:v>
                </c:pt>
                <c:pt idx="184">
                  <c:v>1266.9658485865925</c:v>
                </c:pt>
                <c:pt idx="185">
                  <c:v>913.17724574894521</c:v>
                </c:pt>
                <c:pt idx="186">
                  <c:v>205.60004007365052</c:v>
                </c:pt>
                <c:pt idx="187">
                  <c:v>205.60004007365052</c:v>
                </c:pt>
                <c:pt idx="188">
                  <c:v>1266.9658485865925</c:v>
                </c:pt>
                <c:pt idx="189">
                  <c:v>559.38864291129789</c:v>
                </c:pt>
                <c:pt idx="190">
                  <c:v>913.17724574894521</c:v>
                </c:pt>
                <c:pt idx="191">
                  <c:v>1266.9658485865925</c:v>
                </c:pt>
                <c:pt idx="192">
                  <c:v>1620.75445142424</c:v>
                </c:pt>
                <c:pt idx="193">
                  <c:v>913.17724574894521</c:v>
                </c:pt>
                <c:pt idx="194">
                  <c:v>1620.75445142424</c:v>
                </c:pt>
                <c:pt idx="195">
                  <c:v>1266.9658485865925</c:v>
                </c:pt>
                <c:pt idx="196">
                  <c:v>1266.9658485865925</c:v>
                </c:pt>
                <c:pt idx="197">
                  <c:v>1266.9658485865925</c:v>
                </c:pt>
                <c:pt idx="198">
                  <c:v>913.17724574894521</c:v>
                </c:pt>
                <c:pt idx="199">
                  <c:v>559.38864291129789</c:v>
                </c:pt>
                <c:pt idx="200">
                  <c:v>1266.9658485865925</c:v>
                </c:pt>
                <c:pt idx="201">
                  <c:v>559.38864291129789</c:v>
                </c:pt>
                <c:pt idx="202">
                  <c:v>913.17724574894521</c:v>
                </c:pt>
                <c:pt idx="203">
                  <c:v>205.60004007365052</c:v>
                </c:pt>
                <c:pt idx="204">
                  <c:v>913.17724574894521</c:v>
                </c:pt>
                <c:pt idx="205">
                  <c:v>1620.75445142424</c:v>
                </c:pt>
                <c:pt idx="206">
                  <c:v>1620.75445142424</c:v>
                </c:pt>
                <c:pt idx="207">
                  <c:v>913.17724574894521</c:v>
                </c:pt>
                <c:pt idx="208">
                  <c:v>913.17724574894521</c:v>
                </c:pt>
                <c:pt idx="209">
                  <c:v>559.38864291129789</c:v>
                </c:pt>
                <c:pt idx="210">
                  <c:v>559.38864291129789</c:v>
                </c:pt>
                <c:pt idx="211">
                  <c:v>1620.75445142424</c:v>
                </c:pt>
                <c:pt idx="212">
                  <c:v>913.17724574894521</c:v>
                </c:pt>
                <c:pt idx="213">
                  <c:v>913.17724574894521</c:v>
                </c:pt>
                <c:pt idx="214">
                  <c:v>913.17724574894521</c:v>
                </c:pt>
                <c:pt idx="215">
                  <c:v>1620.75445142424</c:v>
                </c:pt>
                <c:pt idx="216">
                  <c:v>205.60004007365052</c:v>
                </c:pt>
                <c:pt idx="217">
                  <c:v>205.60004007365052</c:v>
                </c:pt>
                <c:pt idx="218">
                  <c:v>1266.9658485865925</c:v>
                </c:pt>
                <c:pt idx="219">
                  <c:v>1620.75445142424</c:v>
                </c:pt>
                <c:pt idx="220">
                  <c:v>559.38864291129789</c:v>
                </c:pt>
                <c:pt idx="221">
                  <c:v>1266.9658485865925</c:v>
                </c:pt>
                <c:pt idx="222">
                  <c:v>559.38864291129789</c:v>
                </c:pt>
                <c:pt idx="223">
                  <c:v>559.38864291129789</c:v>
                </c:pt>
                <c:pt idx="224">
                  <c:v>1620.75445142424</c:v>
                </c:pt>
                <c:pt idx="225">
                  <c:v>1620.75445142424</c:v>
                </c:pt>
                <c:pt idx="226">
                  <c:v>559.38864291129789</c:v>
                </c:pt>
                <c:pt idx="227">
                  <c:v>1620.75445142424</c:v>
                </c:pt>
                <c:pt idx="228">
                  <c:v>559.38864291129789</c:v>
                </c:pt>
                <c:pt idx="229">
                  <c:v>1620.75445142424</c:v>
                </c:pt>
                <c:pt idx="230">
                  <c:v>1266.9658485865925</c:v>
                </c:pt>
                <c:pt idx="231">
                  <c:v>205.60004007365052</c:v>
                </c:pt>
                <c:pt idx="232">
                  <c:v>559.38864291129789</c:v>
                </c:pt>
                <c:pt idx="233">
                  <c:v>559.38864291129789</c:v>
                </c:pt>
                <c:pt idx="234">
                  <c:v>913.17724574894521</c:v>
                </c:pt>
                <c:pt idx="235">
                  <c:v>913.17724574894521</c:v>
                </c:pt>
                <c:pt idx="236">
                  <c:v>913.17724574894521</c:v>
                </c:pt>
                <c:pt idx="237">
                  <c:v>1266.9658485865925</c:v>
                </c:pt>
                <c:pt idx="238">
                  <c:v>1266.9658485865925</c:v>
                </c:pt>
                <c:pt idx="239">
                  <c:v>1620.75445142424</c:v>
                </c:pt>
                <c:pt idx="240">
                  <c:v>913.17724574894521</c:v>
                </c:pt>
                <c:pt idx="241">
                  <c:v>559.38864291129789</c:v>
                </c:pt>
                <c:pt idx="242">
                  <c:v>559.38864291129789</c:v>
                </c:pt>
                <c:pt idx="243">
                  <c:v>913.17724574894521</c:v>
                </c:pt>
                <c:pt idx="244">
                  <c:v>913.17724574894521</c:v>
                </c:pt>
                <c:pt idx="245">
                  <c:v>205.60004007365052</c:v>
                </c:pt>
                <c:pt idx="246">
                  <c:v>913.17724574894521</c:v>
                </c:pt>
                <c:pt idx="247">
                  <c:v>559.38864291129789</c:v>
                </c:pt>
                <c:pt idx="248">
                  <c:v>913.17724574894521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E1-4BEB-B881-D435D49BB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989632"/>
        <c:axId val="239181680"/>
      </c:scatterChart>
      <c:valAx>
        <c:axId val="62098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9181680"/>
        <c:crosses val="autoZero"/>
        <c:crossBetween val="midCat"/>
      </c:valAx>
      <c:valAx>
        <c:axId val="2391816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749.97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0989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601980</xdr:colOff>
      <xdr:row>1</xdr:row>
      <xdr:rowOff>167640</xdr:rowOff>
    </xdr:from>
    <xdr:to>
      <xdr:col>9</xdr:col>
      <xdr:colOff>281940</xdr:colOff>
      <xdr:row>9</xdr:row>
      <xdr:rowOff>76200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07704ED0-0F9D-4FCC-D693-69B0F14979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96640" y="35052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1</xdr:row>
      <xdr:rowOff>0</xdr:rowOff>
    </xdr:from>
    <xdr:to>
      <xdr:col>13</xdr:col>
      <xdr:colOff>182880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392EB6-1618-47C0-6041-EE95F6134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1</xdr:row>
      <xdr:rowOff>83820</xdr:rowOff>
    </xdr:from>
    <xdr:to>
      <xdr:col>8</xdr:col>
      <xdr:colOff>121285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99264-A93C-06E2-E8B0-0BE9C856A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68580</xdr:colOff>
      <xdr:row>1</xdr:row>
      <xdr:rowOff>83820</xdr:rowOff>
    </xdr:from>
    <xdr:to>
      <xdr:col>16</xdr:col>
      <xdr:colOff>121285</xdr:colOff>
      <xdr:row>14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A156E-EA8E-78D2-CF9E-85970DAAF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91440</xdr:colOff>
      <xdr:row>16</xdr:row>
      <xdr:rowOff>60960</xdr:rowOff>
    </xdr:from>
    <xdr:to>
      <xdr:col>8</xdr:col>
      <xdr:colOff>137160</xdr:colOff>
      <xdr:row>29</xdr:row>
      <xdr:rowOff>111760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7D2310-75A3-2A5E-18DD-15B0BCB8C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30480</xdr:rowOff>
    </xdr:from>
    <xdr:to>
      <xdr:col>4</xdr:col>
      <xdr:colOff>396240</xdr:colOff>
      <xdr:row>16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0C1BE2-4438-546B-8B75-621D3EBA7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5</xdr:row>
      <xdr:rowOff>38100</xdr:rowOff>
    </xdr:from>
    <xdr:to>
      <xdr:col>13</xdr:col>
      <xdr:colOff>784860</xdr:colOff>
      <xdr:row>16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676EC41-1E69-C75B-8460-8FFA9E70B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739140</xdr:colOff>
      <xdr:row>5</xdr:row>
      <xdr:rowOff>53340</xdr:rowOff>
    </xdr:from>
    <xdr:to>
      <xdr:col>9</xdr:col>
      <xdr:colOff>182880</xdr:colOff>
      <xdr:row>16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E563D5-6A39-570E-C075-F104C6CCE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</xdr:colOff>
      <xdr:row>18</xdr:row>
      <xdr:rowOff>45720</xdr:rowOff>
    </xdr:from>
    <xdr:to>
      <xdr:col>4</xdr:col>
      <xdr:colOff>403860</xdr:colOff>
      <xdr:row>28</xdr:row>
      <xdr:rowOff>15240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786F8DB-97F5-4788-AEDE-28D774402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731520</xdr:colOff>
      <xdr:row>18</xdr:row>
      <xdr:rowOff>53340</xdr:rowOff>
    </xdr:from>
    <xdr:to>
      <xdr:col>9</xdr:col>
      <xdr:colOff>190500</xdr:colOff>
      <xdr:row>28</xdr:row>
      <xdr:rowOff>22860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7" name="Date 1">
              <a:extLst>
                <a:ext uri="{FF2B5EF4-FFF2-40B4-BE49-F238E27FC236}">
                  <a16:creationId xmlns:a16="http://schemas.microsoft.com/office/drawing/2014/main" id="{31DC3106-F4B4-4B26-8B32-0A214C029C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7180" y="3543300"/>
              <a:ext cx="3688080" cy="1798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9</xdr:col>
      <xdr:colOff>563880</xdr:colOff>
      <xdr:row>18</xdr:row>
      <xdr:rowOff>38100</xdr:rowOff>
    </xdr:from>
    <xdr:to>
      <xdr:col>13</xdr:col>
      <xdr:colOff>777240</xdr:colOff>
      <xdr:row>28</xdr:row>
      <xdr:rowOff>22860</xdr:rowOff>
    </xdr:to>
    <xdr:sp macro="" textlink="">
      <xdr:nvSpPr>
        <xdr:cNvPr id="13315" name="Text Box 3">
          <a:extLst>
            <a:ext uri="{FF2B5EF4-FFF2-40B4-BE49-F238E27FC236}">
              <a16:creationId xmlns:a16="http://schemas.microsoft.com/office/drawing/2014/main" id="{2208DD41-CE41-89D1-6EF0-E12F3858F05D}"/>
            </a:ext>
          </a:extLst>
        </xdr:cNvPr>
        <xdr:cNvSpPr txBox="1">
          <a:spLocks noChangeArrowheads="1"/>
        </xdr:cNvSpPr>
      </xdr:nvSpPr>
      <xdr:spPr bwMode="auto">
        <a:xfrm>
          <a:off x="8168640" y="3528060"/>
          <a:ext cx="3398520" cy="18135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IN" sz="1600" b="1" i="0" u="none" strike="noStrike" baseline="0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t>KEY INSIGHTS:</a:t>
          </a:r>
        </a:p>
        <a:p>
          <a:pPr algn="l" rtl="0">
            <a:defRPr sz="1000"/>
          </a:pPr>
          <a:endParaRPr lang="en-IN" sz="1600" b="1" i="0" u="none" strike="noStrike" baseline="0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IN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Top Product: Laptop – ₹67,499 Revenue</a:t>
          </a:r>
        </a:p>
        <a:p>
          <a:pPr algn="l" rtl="0">
            <a:defRPr sz="1000"/>
          </a:pPr>
          <a:r>
            <a:rPr lang="en-IN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Best Region: East – ₹59,288 Revenue</a:t>
          </a:r>
        </a:p>
        <a:p>
          <a:pPr algn="l" rtl="0">
            <a:defRPr sz="1000"/>
          </a:pPr>
          <a:r>
            <a:rPr lang="en-IN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Use the dropdown controls above to explore Region, Category and Payment combinations.</a:t>
          </a:r>
        </a:p>
        <a:p>
          <a:pPr algn="l" rtl="0">
            <a:defRPr sz="1000"/>
          </a:pPr>
          <a:r>
            <a:rPr lang="en-IN"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Raw Data includes TODAY, NOW, DATEDIF, EOMONTH and TEXT helper columns.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1_Raw%20Dat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l_Project_Data_Intelligence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Sheet3"/>
      <sheetName val="Sheet4"/>
      <sheetName val="01_Raw Data"/>
    </sheetNames>
    <sheetDataSet>
      <sheetData sheetId="0">
        <row r="2">
          <cell r="A2" t="str">
            <v>TRX0155</v>
          </cell>
          <cell r="F2" t="str">
            <v>Monitor</v>
          </cell>
          <cell r="H2">
            <v>3</v>
          </cell>
          <cell r="N2">
            <v>749.97</v>
          </cell>
        </row>
        <row r="3">
          <cell r="A3" t="str">
            <v>TRX0023</v>
          </cell>
          <cell r="F3" t="str">
            <v>Monitor</v>
          </cell>
          <cell r="H3">
            <v>3</v>
          </cell>
          <cell r="N3">
            <v>749.97</v>
          </cell>
        </row>
        <row r="4">
          <cell r="A4" t="str">
            <v>TRX0139</v>
          </cell>
          <cell r="F4" t="str">
            <v>Blender</v>
          </cell>
          <cell r="H4">
            <v>3</v>
          </cell>
          <cell r="N4">
            <v>179.97</v>
          </cell>
        </row>
        <row r="5">
          <cell r="A5" t="str">
            <v>TRX0043</v>
          </cell>
          <cell r="F5" t="str">
            <v>Blender</v>
          </cell>
          <cell r="H5">
            <v>3</v>
          </cell>
          <cell r="N5">
            <v>179.97</v>
          </cell>
        </row>
        <row r="6">
          <cell r="A6" t="str">
            <v>TRX0212</v>
          </cell>
          <cell r="F6" t="str">
            <v>Bookshelf</v>
          </cell>
          <cell r="H6">
            <v>5</v>
          </cell>
          <cell r="N6">
            <v>749.95</v>
          </cell>
        </row>
        <row r="7">
          <cell r="A7" t="str">
            <v>TRX0092</v>
          </cell>
          <cell r="F7" t="str">
            <v>Blender</v>
          </cell>
          <cell r="H7">
            <v>2</v>
          </cell>
          <cell r="N7">
            <v>119.98</v>
          </cell>
        </row>
        <row r="8">
          <cell r="A8" t="str">
            <v>TRX0193</v>
          </cell>
          <cell r="F8" t="str">
            <v>Headphones</v>
          </cell>
          <cell r="H8">
            <v>5</v>
          </cell>
          <cell r="N8">
            <v>749.95</v>
          </cell>
        </row>
        <row r="9">
          <cell r="A9" t="str">
            <v>TRX0240</v>
          </cell>
          <cell r="F9" t="str">
            <v>Blender</v>
          </cell>
          <cell r="H9">
            <v>3</v>
          </cell>
          <cell r="N9">
            <v>179.97</v>
          </cell>
        </row>
        <row r="10">
          <cell r="A10" t="str">
            <v>TRX0135</v>
          </cell>
          <cell r="F10" t="str">
            <v>Laptop</v>
          </cell>
          <cell r="H10">
            <v>3</v>
          </cell>
          <cell r="N10">
            <v>2699.97</v>
          </cell>
        </row>
        <row r="11">
          <cell r="A11" t="str">
            <v>TRX0185</v>
          </cell>
          <cell r="F11" t="str">
            <v>Blender</v>
          </cell>
          <cell r="H11">
            <v>3</v>
          </cell>
          <cell r="N11">
            <v>179.97</v>
          </cell>
        </row>
        <row r="12">
          <cell r="A12" t="str">
            <v>TRX0138</v>
          </cell>
          <cell r="F12" t="str">
            <v>Bookshelf</v>
          </cell>
          <cell r="H12">
            <v>1</v>
          </cell>
          <cell r="N12">
            <v>149.99</v>
          </cell>
        </row>
        <row r="13">
          <cell r="A13" t="str">
            <v>TRX0209</v>
          </cell>
          <cell r="F13" t="str">
            <v>Bookshelf</v>
          </cell>
          <cell r="H13">
            <v>5</v>
          </cell>
          <cell r="N13">
            <v>749.95</v>
          </cell>
        </row>
        <row r="14">
          <cell r="A14" t="str">
            <v>TRX0246</v>
          </cell>
          <cell r="F14" t="str">
            <v>Bookshelf</v>
          </cell>
          <cell r="H14">
            <v>3</v>
          </cell>
          <cell r="N14">
            <v>449.97</v>
          </cell>
        </row>
        <row r="15">
          <cell r="A15" t="str">
            <v>TRX0067</v>
          </cell>
          <cell r="F15" t="str">
            <v>Blender</v>
          </cell>
          <cell r="H15">
            <v>3</v>
          </cell>
          <cell r="N15">
            <v>179.97</v>
          </cell>
        </row>
        <row r="16">
          <cell r="A16" t="str">
            <v>TRX0191</v>
          </cell>
          <cell r="F16" t="str">
            <v>Smartphone</v>
          </cell>
          <cell r="H16">
            <v>3</v>
          </cell>
          <cell r="N16">
            <v>2099.9699999999998</v>
          </cell>
        </row>
        <row r="17">
          <cell r="A17" t="str">
            <v>TRX0230</v>
          </cell>
          <cell r="F17" t="str">
            <v>Laptop</v>
          </cell>
          <cell r="H17">
            <v>1</v>
          </cell>
          <cell r="N17">
            <v>899.99</v>
          </cell>
        </row>
        <row r="18">
          <cell r="A18" t="str">
            <v>TRX0049</v>
          </cell>
          <cell r="F18" t="str">
            <v>Bookshelf</v>
          </cell>
          <cell r="H18">
            <v>4</v>
          </cell>
          <cell r="N18">
            <v>599.96</v>
          </cell>
        </row>
        <row r="19">
          <cell r="A19" t="str">
            <v>TRX0134</v>
          </cell>
          <cell r="F19" t="str">
            <v>Smartphone</v>
          </cell>
          <cell r="H19">
            <v>2</v>
          </cell>
          <cell r="N19">
            <v>1399.98</v>
          </cell>
        </row>
        <row r="20">
          <cell r="A20" t="str">
            <v>TRX0122</v>
          </cell>
          <cell r="F20" t="str">
            <v>Laptop</v>
          </cell>
          <cell r="H20">
            <v>4</v>
          </cell>
          <cell r="N20">
            <v>3599.96</v>
          </cell>
        </row>
        <row r="21">
          <cell r="A21" t="str">
            <v>TRX0222</v>
          </cell>
          <cell r="F21" t="str">
            <v>Monitor</v>
          </cell>
          <cell r="H21">
            <v>3</v>
          </cell>
          <cell r="N21">
            <v>749.97</v>
          </cell>
        </row>
        <row r="22">
          <cell r="A22" t="str">
            <v>TRX0231</v>
          </cell>
          <cell r="F22" t="str">
            <v>Smartphone</v>
          </cell>
          <cell r="H22">
            <v>5</v>
          </cell>
          <cell r="N22">
            <v>3499.95</v>
          </cell>
        </row>
        <row r="23">
          <cell r="A23" t="str">
            <v>TRX0239</v>
          </cell>
          <cell r="F23" t="str">
            <v>Smartphone</v>
          </cell>
          <cell r="H23">
            <v>4</v>
          </cell>
          <cell r="N23">
            <v>2799.96</v>
          </cell>
        </row>
        <row r="24">
          <cell r="A24" t="str">
            <v>TRX0204</v>
          </cell>
          <cell r="F24" t="str">
            <v>Monitor</v>
          </cell>
          <cell r="H24">
            <v>4</v>
          </cell>
          <cell r="N24">
            <v>999.96</v>
          </cell>
        </row>
        <row r="25">
          <cell r="A25" t="str">
            <v>TRX0242</v>
          </cell>
          <cell r="F25" t="str">
            <v>Desk</v>
          </cell>
          <cell r="H25">
            <v>4</v>
          </cell>
          <cell r="N25">
            <v>1199.96</v>
          </cell>
        </row>
        <row r="26">
          <cell r="A26" t="str">
            <v>TRX0071</v>
          </cell>
          <cell r="F26" t="str">
            <v>Monitor</v>
          </cell>
          <cell r="H26">
            <v>5</v>
          </cell>
          <cell r="N26">
            <v>1249.95</v>
          </cell>
        </row>
        <row r="27">
          <cell r="A27" t="str">
            <v>TRX0040</v>
          </cell>
          <cell r="F27" t="str">
            <v>Desk</v>
          </cell>
          <cell r="H27">
            <v>5</v>
          </cell>
          <cell r="N27">
            <v>1499.95</v>
          </cell>
        </row>
        <row r="28">
          <cell r="A28" t="str">
            <v>TRX0235</v>
          </cell>
          <cell r="F28" t="str">
            <v>Coffee Maker</v>
          </cell>
          <cell r="H28">
            <v>3</v>
          </cell>
          <cell r="N28">
            <v>239.97</v>
          </cell>
        </row>
        <row r="29">
          <cell r="A29" t="str">
            <v>TRX0004</v>
          </cell>
          <cell r="F29" t="str">
            <v>Keyboard</v>
          </cell>
          <cell r="H29">
            <v>5</v>
          </cell>
          <cell r="N29">
            <v>449.95</v>
          </cell>
        </row>
        <row r="30">
          <cell r="A30" t="str">
            <v>TRX0063</v>
          </cell>
          <cell r="F30" t="str">
            <v>Blender</v>
          </cell>
          <cell r="H30">
            <v>2</v>
          </cell>
          <cell r="N30">
            <v>119.98</v>
          </cell>
        </row>
        <row r="31">
          <cell r="A31" t="str">
            <v>TRX0241</v>
          </cell>
          <cell r="F31" t="str">
            <v>Blender</v>
          </cell>
          <cell r="H31">
            <v>4</v>
          </cell>
          <cell r="N31">
            <v>239.96</v>
          </cell>
        </row>
        <row r="32">
          <cell r="A32" t="str">
            <v>TRX0029</v>
          </cell>
          <cell r="F32" t="str">
            <v>Office Chair</v>
          </cell>
          <cell r="H32">
            <v>5</v>
          </cell>
          <cell r="N32">
            <v>999.95</v>
          </cell>
        </row>
        <row r="33">
          <cell r="A33" t="str">
            <v>TRX0194</v>
          </cell>
          <cell r="F33" t="str">
            <v>Bookshelf</v>
          </cell>
          <cell r="H33">
            <v>2</v>
          </cell>
          <cell r="N33">
            <v>299.98</v>
          </cell>
        </row>
        <row r="34">
          <cell r="A34" t="str">
            <v>TRX0130</v>
          </cell>
          <cell r="F34" t="str">
            <v>Bookshelf</v>
          </cell>
          <cell r="H34">
            <v>3</v>
          </cell>
          <cell r="N34">
            <v>449.97</v>
          </cell>
        </row>
        <row r="35">
          <cell r="A35" t="str">
            <v>TRX0041</v>
          </cell>
          <cell r="F35" t="str">
            <v>Laptop</v>
          </cell>
          <cell r="H35">
            <v>1</v>
          </cell>
          <cell r="N35">
            <v>899.99</v>
          </cell>
        </row>
        <row r="36">
          <cell r="A36" t="str">
            <v>TRX0232</v>
          </cell>
          <cell r="F36" t="str">
            <v>Desk</v>
          </cell>
          <cell r="H36">
            <v>3</v>
          </cell>
          <cell r="N36">
            <v>899.97</v>
          </cell>
        </row>
        <row r="37">
          <cell r="A37" t="str">
            <v>TRX0021</v>
          </cell>
          <cell r="F37" t="str">
            <v>Coffee Maker</v>
          </cell>
          <cell r="H37">
            <v>3</v>
          </cell>
          <cell r="N37">
            <v>239.97</v>
          </cell>
        </row>
        <row r="38">
          <cell r="A38" t="str">
            <v>TRX0245</v>
          </cell>
          <cell r="F38" t="str">
            <v>Office Chair</v>
          </cell>
          <cell r="H38">
            <v>3</v>
          </cell>
          <cell r="N38">
            <v>599.97</v>
          </cell>
        </row>
        <row r="39">
          <cell r="A39" t="str">
            <v>TRX0015</v>
          </cell>
          <cell r="F39" t="str">
            <v>Smartphone</v>
          </cell>
          <cell r="H39">
            <v>5</v>
          </cell>
          <cell r="N39">
            <v>3499.95</v>
          </cell>
        </row>
        <row r="40">
          <cell r="A40" t="str">
            <v>TRX0202</v>
          </cell>
          <cell r="F40" t="str">
            <v>Keyboard</v>
          </cell>
          <cell r="H40">
            <v>3</v>
          </cell>
          <cell r="N40">
            <v>269.97000000000003</v>
          </cell>
        </row>
        <row r="41">
          <cell r="A41" t="str">
            <v>TRX0042</v>
          </cell>
          <cell r="F41" t="str">
            <v>Coffee Maker</v>
          </cell>
          <cell r="H41">
            <v>1</v>
          </cell>
          <cell r="N41">
            <v>79.989999999999995</v>
          </cell>
        </row>
        <row r="42">
          <cell r="A42" t="str">
            <v>TRX0128</v>
          </cell>
          <cell r="F42" t="str">
            <v>Blender</v>
          </cell>
          <cell r="H42">
            <v>2</v>
          </cell>
          <cell r="N42">
            <v>119.98</v>
          </cell>
        </row>
        <row r="43">
          <cell r="A43" t="str">
            <v>TRX0117</v>
          </cell>
          <cell r="F43" t="str">
            <v>Keyboard</v>
          </cell>
          <cell r="H43">
            <v>1</v>
          </cell>
          <cell r="N43">
            <v>89.99</v>
          </cell>
        </row>
        <row r="44">
          <cell r="A44" t="str">
            <v>TRX0208</v>
          </cell>
          <cell r="F44" t="str">
            <v>Keyboard</v>
          </cell>
          <cell r="H44">
            <v>5</v>
          </cell>
          <cell r="N44">
            <v>449.95</v>
          </cell>
        </row>
        <row r="45">
          <cell r="A45" t="str">
            <v>TRX0234</v>
          </cell>
          <cell r="F45" t="str">
            <v>Monitor</v>
          </cell>
          <cell r="H45">
            <v>5</v>
          </cell>
          <cell r="N45">
            <v>1249.95</v>
          </cell>
        </row>
        <row r="46">
          <cell r="A46" t="str">
            <v>TRX0121</v>
          </cell>
          <cell r="F46" t="str">
            <v>Keyboard</v>
          </cell>
          <cell r="H46">
            <v>1</v>
          </cell>
          <cell r="N46">
            <v>89.99</v>
          </cell>
        </row>
        <row r="47">
          <cell r="A47" t="str">
            <v>TRX0220</v>
          </cell>
          <cell r="F47" t="str">
            <v>Bookshelf</v>
          </cell>
          <cell r="H47">
            <v>2</v>
          </cell>
          <cell r="N47">
            <v>299.98</v>
          </cell>
        </row>
        <row r="48">
          <cell r="A48" t="str">
            <v>TRX0093</v>
          </cell>
          <cell r="F48" t="str">
            <v>Blender</v>
          </cell>
          <cell r="H48">
            <v>4</v>
          </cell>
          <cell r="N48">
            <v>239.96</v>
          </cell>
        </row>
        <row r="49">
          <cell r="A49" t="str">
            <v>TRX0088</v>
          </cell>
          <cell r="F49" t="str">
            <v>Keyboard</v>
          </cell>
          <cell r="H49">
            <v>5</v>
          </cell>
          <cell r="N49">
            <v>449.95</v>
          </cell>
        </row>
        <row r="50">
          <cell r="A50" t="str">
            <v>TRX0115</v>
          </cell>
          <cell r="F50" t="str">
            <v>Keyboard</v>
          </cell>
          <cell r="H50">
            <v>2</v>
          </cell>
          <cell r="N50">
            <v>179.98</v>
          </cell>
        </row>
        <row r="51">
          <cell r="A51" t="str">
            <v>TRX0154</v>
          </cell>
          <cell r="F51" t="str">
            <v>Laptop</v>
          </cell>
          <cell r="H51">
            <v>5</v>
          </cell>
          <cell r="N51">
            <v>4499.95</v>
          </cell>
        </row>
        <row r="52">
          <cell r="A52" t="str">
            <v>TRX0044</v>
          </cell>
          <cell r="F52" t="str">
            <v>Laptop</v>
          </cell>
          <cell r="H52">
            <v>5</v>
          </cell>
          <cell r="N52">
            <v>4499.95</v>
          </cell>
        </row>
        <row r="53">
          <cell r="A53" t="str">
            <v>TRX0061</v>
          </cell>
          <cell r="F53" t="str">
            <v>Blender</v>
          </cell>
          <cell r="H53">
            <v>1</v>
          </cell>
          <cell r="N53">
            <v>59.99</v>
          </cell>
        </row>
        <row r="54">
          <cell r="A54" t="str">
            <v>TRX0150</v>
          </cell>
          <cell r="F54" t="str">
            <v>Desk</v>
          </cell>
          <cell r="H54">
            <v>2</v>
          </cell>
          <cell r="N54">
            <v>599.98</v>
          </cell>
        </row>
        <row r="55">
          <cell r="A55" t="str">
            <v>TRX0025</v>
          </cell>
          <cell r="F55" t="str">
            <v>Keyboard</v>
          </cell>
          <cell r="H55">
            <v>4</v>
          </cell>
          <cell r="N55">
            <v>359.96</v>
          </cell>
        </row>
        <row r="56">
          <cell r="A56" t="str">
            <v>TRX0078</v>
          </cell>
          <cell r="F56" t="str">
            <v>Coffee Maker</v>
          </cell>
          <cell r="H56">
            <v>1</v>
          </cell>
          <cell r="N56">
            <v>79.989999999999995</v>
          </cell>
        </row>
        <row r="57">
          <cell r="A57" t="str">
            <v>TRX0007</v>
          </cell>
          <cell r="F57" t="str">
            <v>Keyboard</v>
          </cell>
          <cell r="H57">
            <v>2</v>
          </cell>
          <cell r="N57">
            <v>179.98</v>
          </cell>
        </row>
        <row r="58">
          <cell r="A58" t="str">
            <v>TRX0184</v>
          </cell>
          <cell r="F58" t="str">
            <v>Smartphone</v>
          </cell>
          <cell r="H58">
            <v>3</v>
          </cell>
          <cell r="N58">
            <v>2099.9699999999998</v>
          </cell>
        </row>
        <row r="59">
          <cell r="A59" t="str">
            <v>TRX0104</v>
          </cell>
          <cell r="F59" t="str">
            <v>Laptop</v>
          </cell>
          <cell r="H59">
            <v>4</v>
          </cell>
          <cell r="N59">
            <v>3599.96</v>
          </cell>
        </row>
        <row r="60">
          <cell r="A60" t="str">
            <v>TRX0127</v>
          </cell>
          <cell r="F60" t="str">
            <v>Bookshelf</v>
          </cell>
          <cell r="H60">
            <v>1</v>
          </cell>
          <cell r="N60">
            <v>149.99</v>
          </cell>
        </row>
        <row r="61">
          <cell r="A61" t="str">
            <v>TRX0096</v>
          </cell>
          <cell r="F61" t="str">
            <v>Keyboard</v>
          </cell>
          <cell r="H61">
            <v>2</v>
          </cell>
          <cell r="N61">
            <v>179.98</v>
          </cell>
        </row>
        <row r="62">
          <cell r="A62" t="str">
            <v>TRX0192</v>
          </cell>
          <cell r="F62" t="str">
            <v>Keyboard</v>
          </cell>
          <cell r="H62">
            <v>1</v>
          </cell>
          <cell r="N62">
            <v>89.99</v>
          </cell>
        </row>
        <row r="63">
          <cell r="A63" t="str">
            <v>TRX0052</v>
          </cell>
          <cell r="F63" t="str">
            <v>Keyboard</v>
          </cell>
          <cell r="H63">
            <v>1</v>
          </cell>
          <cell r="N63">
            <v>89.99</v>
          </cell>
        </row>
        <row r="64">
          <cell r="A64" t="str">
            <v>TRX0070</v>
          </cell>
          <cell r="F64" t="str">
            <v>Coffee Maker</v>
          </cell>
          <cell r="H64">
            <v>5</v>
          </cell>
          <cell r="N64">
            <v>399.95</v>
          </cell>
        </row>
        <row r="65">
          <cell r="A65" t="str">
            <v>TRX0086</v>
          </cell>
          <cell r="F65" t="str">
            <v>Bookshelf</v>
          </cell>
          <cell r="H65">
            <v>1</v>
          </cell>
          <cell r="N65">
            <v>149.99</v>
          </cell>
        </row>
        <row r="66">
          <cell r="A66" t="str">
            <v>TRX0113</v>
          </cell>
          <cell r="F66" t="str">
            <v>Smartphone</v>
          </cell>
          <cell r="H66">
            <v>2</v>
          </cell>
          <cell r="N66">
            <v>1399.98</v>
          </cell>
        </row>
        <row r="67">
          <cell r="A67" t="str">
            <v>TRX0114</v>
          </cell>
          <cell r="F67" t="str">
            <v>Keyboard</v>
          </cell>
          <cell r="H67">
            <v>5</v>
          </cell>
          <cell r="N67">
            <v>449.95</v>
          </cell>
        </row>
        <row r="68">
          <cell r="A68" t="str">
            <v>TRX0136</v>
          </cell>
          <cell r="F68" t="str">
            <v>Blender</v>
          </cell>
          <cell r="H68">
            <v>4</v>
          </cell>
          <cell r="N68">
            <v>239.96</v>
          </cell>
        </row>
        <row r="69">
          <cell r="A69" t="str">
            <v>TRX0018</v>
          </cell>
          <cell r="F69" t="str">
            <v>Headphones</v>
          </cell>
          <cell r="H69">
            <v>1</v>
          </cell>
          <cell r="N69">
            <v>149.99</v>
          </cell>
        </row>
        <row r="70">
          <cell r="A70" t="str">
            <v>TRX0141</v>
          </cell>
          <cell r="F70" t="str">
            <v>Desk</v>
          </cell>
          <cell r="H70">
            <v>1</v>
          </cell>
          <cell r="N70">
            <v>299.99</v>
          </cell>
        </row>
        <row r="71">
          <cell r="A71" t="str">
            <v>TRX0097</v>
          </cell>
          <cell r="F71" t="str">
            <v>Office Chair</v>
          </cell>
          <cell r="H71">
            <v>2</v>
          </cell>
          <cell r="N71">
            <v>399.98</v>
          </cell>
        </row>
        <row r="72">
          <cell r="A72" t="str">
            <v>TRX0169</v>
          </cell>
          <cell r="F72" t="str">
            <v>Blender</v>
          </cell>
          <cell r="H72">
            <v>3</v>
          </cell>
          <cell r="N72">
            <v>179.97</v>
          </cell>
        </row>
        <row r="73">
          <cell r="A73" t="str">
            <v>TRX0216</v>
          </cell>
          <cell r="F73" t="str">
            <v>Bookshelf</v>
          </cell>
          <cell r="H73">
            <v>3</v>
          </cell>
          <cell r="N73">
            <v>449.97</v>
          </cell>
        </row>
        <row r="74">
          <cell r="A74" t="str">
            <v>TRX0131</v>
          </cell>
          <cell r="F74" t="str">
            <v>Office Chair</v>
          </cell>
          <cell r="H74">
            <v>3</v>
          </cell>
          <cell r="N74">
            <v>599.97</v>
          </cell>
        </row>
        <row r="75">
          <cell r="A75" t="str">
            <v>TRX0162</v>
          </cell>
          <cell r="F75" t="str">
            <v>Laptop</v>
          </cell>
          <cell r="H75">
            <v>1</v>
          </cell>
          <cell r="N75">
            <v>899.99</v>
          </cell>
        </row>
        <row r="76">
          <cell r="A76" t="str">
            <v>TRX0244</v>
          </cell>
          <cell r="F76" t="str">
            <v>Laptop</v>
          </cell>
          <cell r="H76">
            <v>5</v>
          </cell>
          <cell r="N76">
            <v>4499.95</v>
          </cell>
        </row>
        <row r="77">
          <cell r="A77" t="str">
            <v>TRX0006</v>
          </cell>
          <cell r="F77" t="str">
            <v>Blender</v>
          </cell>
          <cell r="H77">
            <v>2</v>
          </cell>
          <cell r="N77">
            <v>119.98</v>
          </cell>
        </row>
        <row r="78">
          <cell r="A78" t="str">
            <v>TRX0215</v>
          </cell>
          <cell r="F78" t="str">
            <v>Monitor</v>
          </cell>
          <cell r="H78">
            <v>4</v>
          </cell>
          <cell r="N78">
            <v>999.96</v>
          </cell>
        </row>
        <row r="79">
          <cell r="A79" t="str">
            <v>TRX0080</v>
          </cell>
          <cell r="F79" t="str">
            <v>Monitor</v>
          </cell>
          <cell r="H79">
            <v>2</v>
          </cell>
          <cell r="N79">
            <v>499.98</v>
          </cell>
        </row>
        <row r="80">
          <cell r="A80" t="str">
            <v>TRX0228</v>
          </cell>
          <cell r="F80" t="str">
            <v>Desk</v>
          </cell>
          <cell r="H80">
            <v>1</v>
          </cell>
          <cell r="N80">
            <v>299.99</v>
          </cell>
        </row>
        <row r="81">
          <cell r="A81" t="str">
            <v>TRX0157</v>
          </cell>
          <cell r="F81" t="str">
            <v>Keyboard</v>
          </cell>
          <cell r="H81">
            <v>2</v>
          </cell>
          <cell r="N81">
            <v>179.98</v>
          </cell>
        </row>
        <row r="82">
          <cell r="A82" t="str">
            <v>TRX0002</v>
          </cell>
          <cell r="F82" t="str">
            <v>Desk</v>
          </cell>
          <cell r="H82">
            <v>3</v>
          </cell>
          <cell r="N82">
            <v>899.97</v>
          </cell>
        </row>
        <row r="83">
          <cell r="A83" t="str">
            <v>TRX0217</v>
          </cell>
          <cell r="F83" t="str">
            <v>Smartphone</v>
          </cell>
          <cell r="H83">
            <v>2</v>
          </cell>
          <cell r="N83">
            <v>1399.98</v>
          </cell>
        </row>
        <row r="84">
          <cell r="A84" t="str">
            <v>TRX0249</v>
          </cell>
          <cell r="F84" t="str">
            <v>Laptop</v>
          </cell>
          <cell r="H84">
            <v>4</v>
          </cell>
          <cell r="N84">
            <v>3599.96</v>
          </cell>
        </row>
        <row r="85">
          <cell r="A85" t="str">
            <v>TRX0065</v>
          </cell>
          <cell r="F85" t="str">
            <v>Bookshelf</v>
          </cell>
          <cell r="H85">
            <v>2</v>
          </cell>
          <cell r="N85">
            <v>299.98</v>
          </cell>
        </row>
        <row r="86">
          <cell r="A86" t="str">
            <v>TRX0176</v>
          </cell>
          <cell r="F86" t="str">
            <v>Bookshelf</v>
          </cell>
          <cell r="H86">
            <v>2</v>
          </cell>
          <cell r="N86">
            <v>299.98</v>
          </cell>
        </row>
        <row r="87">
          <cell r="A87" t="str">
            <v>TRX0101</v>
          </cell>
          <cell r="F87" t="str">
            <v>Keyboard</v>
          </cell>
          <cell r="H87">
            <v>1</v>
          </cell>
          <cell r="N87">
            <v>89.99</v>
          </cell>
        </row>
        <row r="88">
          <cell r="A88" t="str">
            <v>TRX0205</v>
          </cell>
          <cell r="F88" t="str">
            <v>Desk</v>
          </cell>
          <cell r="H88">
            <v>5</v>
          </cell>
          <cell r="N88">
            <v>1499.95</v>
          </cell>
        </row>
        <row r="89">
          <cell r="A89" t="str">
            <v>TRX0020</v>
          </cell>
          <cell r="F89" t="str">
            <v>Headphones</v>
          </cell>
          <cell r="H89">
            <v>4</v>
          </cell>
          <cell r="N89">
            <v>599.96</v>
          </cell>
        </row>
        <row r="90">
          <cell r="A90" t="str">
            <v>TRX0075</v>
          </cell>
          <cell r="F90" t="str">
            <v>Monitor</v>
          </cell>
          <cell r="H90">
            <v>5</v>
          </cell>
          <cell r="N90">
            <v>1249.95</v>
          </cell>
        </row>
        <row r="91">
          <cell r="A91" t="str">
            <v>TRX0098</v>
          </cell>
          <cell r="F91" t="str">
            <v>Monitor</v>
          </cell>
          <cell r="H91">
            <v>3</v>
          </cell>
          <cell r="N91">
            <v>749.97</v>
          </cell>
        </row>
        <row r="92">
          <cell r="A92" t="str">
            <v>TRX0247</v>
          </cell>
          <cell r="F92" t="str">
            <v>Office Chair</v>
          </cell>
          <cell r="H92">
            <v>4</v>
          </cell>
          <cell r="N92">
            <v>799.96</v>
          </cell>
        </row>
        <row r="93">
          <cell r="A93" t="str">
            <v>TRX0027</v>
          </cell>
          <cell r="F93" t="str">
            <v>Office Chair</v>
          </cell>
          <cell r="H93">
            <v>5</v>
          </cell>
          <cell r="N93">
            <v>999.95</v>
          </cell>
        </row>
        <row r="94">
          <cell r="A94" t="str">
            <v>TRX0140</v>
          </cell>
          <cell r="F94" t="str">
            <v>Keyboard</v>
          </cell>
          <cell r="H94">
            <v>2</v>
          </cell>
          <cell r="N94">
            <v>179.98</v>
          </cell>
        </row>
        <row r="95">
          <cell r="A95" t="str">
            <v>TRX0132</v>
          </cell>
          <cell r="F95" t="str">
            <v>Laptop</v>
          </cell>
          <cell r="H95">
            <v>5</v>
          </cell>
          <cell r="N95">
            <v>4499.95</v>
          </cell>
        </row>
        <row r="96">
          <cell r="A96" t="str">
            <v>TRX0031</v>
          </cell>
          <cell r="F96" t="str">
            <v>Headphones</v>
          </cell>
          <cell r="H96">
            <v>3</v>
          </cell>
          <cell r="N96">
            <v>449.97</v>
          </cell>
        </row>
        <row r="97">
          <cell r="A97" t="str">
            <v>TRX0236</v>
          </cell>
          <cell r="F97" t="str">
            <v>Bookshelf</v>
          </cell>
          <cell r="H97">
            <v>5</v>
          </cell>
          <cell r="N97">
            <v>749.95</v>
          </cell>
        </row>
        <row r="98">
          <cell r="A98" t="str">
            <v>TRX0001</v>
          </cell>
          <cell r="F98" t="str">
            <v>Coffee Maker</v>
          </cell>
          <cell r="H98">
            <v>3</v>
          </cell>
          <cell r="N98">
            <v>239.97</v>
          </cell>
        </row>
        <row r="99">
          <cell r="A99" t="str">
            <v>TRX0037</v>
          </cell>
          <cell r="F99" t="str">
            <v>Monitor</v>
          </cell>
          <cell r="H99">
            <v>2</v>
          </cell>
          <cell r="N99">
            <v>499.98</v>
          </cell>
        </row>
        <row r="100">
          <cell r="A100" t="str">
            <v>TRX0058</v>
          </cell>
          <cell r="F100" t="str">
            <v>Smartphone</v>
          </cell>
          <cell r="H100">
            <v>1</v>
          </cell>
          <cell r="N100">
            <v>699.99</v>
          </cell>
        </row>
        <row r="101">
          <cell r="A101" t="str">
            <v>TRX0170</v>
          </cell>
          <cell r="F101" t="str">
            <v>Headphones</v>
          </cell>
          <cell r="H101">
            <v>3</v>
          </cell>
          <cell r="N101">
            <v>449.97</v>
          </cell>
        </row>
        <row r="102">
          <cell r="A102" t="str">
            <v>TRX0248</v>
          </cell>
          <cell r="F102" t="str">
            <v>Smartphone</v>
          </cell>
          <cell r="H102">
            <v>2</v>
          </cell>
          <cell r="N102">
            <v>1399.98</v>
          </cell>
        </row>
        <row r="103">
          <cell r="A103" t="str">
            <v>TRX0099</v>
          </cell>
          <cell r="F103" t="str">
            <v>Monitor</v>
          </cell>
          <cell r="H103">
            <v>1</v>
          </cell>
          <cell r="N103">
            <v>249.99</v>
          </cell>
        </row>
        <row r="104">
          <cell r="A104" t="str">
            <v>TRX0074</v>
          </cell>
          <cell r="F104" t="str">
            <v>Monitor</v>
          </cell>
          <cell r="H104">
            <v>1</v>
          </cell>
          <cell r="N104">
            <v>249.99</v>
          </cell>
        </row>
        <row r="105">
          <cell r="A105" t="str">
            <v>TRX0225</v>
          </cell>
          <cell r="F105" t="str">
            <v>Smartphone</v>
          </cell>
          <cell r="H105">
            <v>2</v>
          </cell>
          <cell r="N105">
            <v>1399.98</v>
          </cell>
        </row>
        <row r="106">
          <cell r="A106" t="str">
            <v>TRX0100</v>
          </cell>
          <cell r="F106" t="str">
            <v>Blender</v>
          </cell>
          <cell r="H106">
            <v>3</v>
          </cell>
          <cell r="N106">
            <v>179.97</v>
          </cell>
        </row>
        <row r="107">
          <cell r="A107" t="str">
            <v>TRX0142</v>
          </cell>
          <cell r="F107" t="str">
            <v>Blender</v>
          </cell>
          <cell r="H107">
            <v>3</v>
          </cell>
          <cell r="N107">
            <v>179.97</v>
          </cell>
        </row>
        <row r="108">
          <cell r="A108" t="str">
            <v>TRX0112</v>
          </cell>
          <cell r="F108" t="str">
            <v>Coffee Maker</v>
          </cell>
          <cell r="H108">
            <v>4</v>
          </cell>
          <cell r="N108">
            <v>319.95999999999998</v>
          </cell>
        </row>
        <row r="109">
          <cell r="A109" t="str">
            <v>TRX0161</v>
          </cell>
          <cell r="F109" t="str">
            <v>Coffee Maker</v>
          </cell>
          <cell r="H109">
            <v>1</v>
          </cell>
          <cell r="N109">
            <v>79.989999999999995</v>
          </cell>
        </row>
        <row r="110">
          <cell r="A110" t="str">
            <v>TRX0108</v>
          </cell>
          <cell r="F110" t="str">
            <v>Desk</v>
          </cell>
          <cell r="H110">
            <v>3</v>
          </cell>
          <cell r="N110">
            <v>899.97</v>
          </cell>
        </row>
        <row r="111">
          <cell r="A111" t="str">
            <v>TRX0211</v>
          </cell>
          <cell r="F111" t="str">
            <v>Keyboard</v>
          </cell>
          <cell r="H111">
            <v>2</v>
          </cell>
          <cell r="N111">
            <v>179.98</v>
          </cell>
        </row>
        <row r="112">
          <cell r="A112" t="str">
            <v>TRX0005</v>
          </cell>
          <cell r="F112" t="str">
            <v>Headphones</v>
          </cell>
          <cell r="H112">
            <v>4</v>
          </cell>
          <cell r="N112">
            <v>599.96</v>
          </cell>
        </row>
        <row r="113">
          <cell r="A113" t="str">
            <v>TRX0195</v>
          </cell>
          <cell r="F113" t="str">
            <v>Monitor</v>
          </cell>
          <cell r="H113">
            <v>2</v>
          </cell>
          <cell r="N113">
            <v>499.98</v>
          </cell>
        </row>
        <row r="114">
          <cell r="A114" t="str">
            <v>TRX0054</v>
          </cell>
          <cell r="F114" t="str">
            <v>Office Chair</v>
          </cell>
          <cell r="H114">
            <v>4</v>
          </cell>
          <cell r="N114">
            <v>799.96</v>
          </cell>
        </row>
        <row r="115">
          <cell r="A115" t="str">
            <v>TRX0077</v>
          </cell>
          <cell r="F115" t="str">
            <v>Keyboard</v>
          </cell>
          <cell r="H115">
            <v>5</v>
          </cell>
          <cell r="N115">
            <v>449.95</v>
          </cell>
        </row>
        <row r="116">
          <cell r="A116" t="str">
            <v>TRX0111</v>
          </cell>
          <cell r="F116" t="str">
            <v>Headphones</v>
          </cell>
          <cell r="H116">
            <v>1</v>
          </cell>
          <cell r="N116">
            <v>149.99</v>
          </cell>
        </row>
        <row r="117">
          <cell r="A117" t="str">
            <v>TRX0123</v>
          </cell>
          <cell r="F117" t="str">
            <v>Smartphone</v>
          </cell>
          <cell r="H117">
            <v>4</v>
          </cell>
          <cell r="N117">
            <v>2799.96</v>
          </cell>
        </row>
        <row r="118">
          <cell r="A118" t="str">
            <v>TRX0177</v>
          </cell>
          <cell r="F118" t="str">
            <v>Laptop</v>
          </cell>
          <cell r="H118">
            <v>3</v>
          </cell>
          <cell r="N118">
            <v>2699.97</v>
          </cell>
        </row>
        <row r="119">
          <cell r="A119" t="str">
            <v>TRX0119</v>
          </cell>
          <cell r="F119" t="str">
            <v>Bookshelf</v>
          </cell>
          <cell r="H119">
            <v>3</v>
          </cell>
          <cell r="N119">
            <v>449.97</v>
          </cell>
        </row>
        <row r="120">
          <cell r="A120" t="str">
            <v>TRX0181</v>
          </cell>
          <cell r="F120" t="str">
            <v>Desk</v>
          </cell>
          <cell r="H120">
            <v>2</v>
          </cell>
          <cell r="N120">
            <v>599.98</v>
          </cell>
        </row>
        <row r="121">
          <cell r="A121" t="str">
            <v>TRX0129</v>
          </cell>
          <cell r="F121" t="str">
            <v>Office Chair</v>
          </cell>
          <cell r="H121">
            <v>1</v>
          </cell>
          <cell r="N121">
            <v>199.99</v>
          </cell>
        </row>
        <row r="122">
          <cell r="A122" t="str">
            <v>TRX0174</v>
          </cell>
          <cell r="F122" t="str">
            <v>Desk</v>
          </cell>
          <cell r="H122">
            <v>4</v>
          </cell>
          <cell r="N122">
            <v>1199.96</v>
          </cell>
        </row>
        <row r="123">
          <cell r="A123" t="str">
            <v>TRX0146</v>
          </cell>
          <cell r="F123" t="str">
            <v>Blender</v>
          </cell>
          <cell r="H123">
            <v>2</v>
          </cell>
          <cell r="N123">
            <v>119.98</v>
          </cell>
        </row>
        <row r="124">
          <cell r="A124" t="str">
            <v>TRX0203</v>
          </cell>
          <cell r="F124" t="str">
            <v>Headphones</v>
          </cell>
          <cell r="H124">
            <v>4</v>
          </cell>
          <cell r="N124">
            <v>599.96</v>
          </cell>
        </row>
        <row r="125">
          <cell r="A125" t="str">
            <v>TRX0055</v>
          </cell>
          <cell r="F125" t="str">
            <v>Smartphone</v>
          </cell>
          <cell r="H125">
            <v>2</v>
          </cell>
          <cell r="N125">
            <v>1399.98</v>
          </cell>
        </row>
        <row r="126">
          <cell r="A126" t="str">
            <v>TRX0218</v>
          </cell>
          <cell r="F126" t="str">
            <v>Bookshelf</v>
          </cell>
          <cell r="H126">
            <v>3</v>
          </cell>
          <cell r="N126">
            <v>449.97</v>
          </cell>
        </row>
        <row r="127">
          <cell r="A127" t="str">
            <v>TRX0085</v>
          </cell>
          <cell r="F127" t="str">
            <v>Desk</v>
          </cell>
          <cell r="H127">
            <v>3</v>
          </cell>
          <cell r="N127">
            <v>899.97</v>
          </cell>
        </row>
        <row r="128">
          <cell r="A128" t="str">
            <v>TRX0158</v>
          </cell>
          <cell r="F128" t="str">
            <v>Laptop</v>
          </cell>
          <cell r="H128">
            <v>3</v>
          </cell>
          <cell r="N128">
            <v>2699.97</v>
          </cell>
        </row>
        <row r="129">
          <cell r="A129" t="str">
            <v>TRX0173</v>
          </cell>
          <cell r="F129" t="str">
            <v>Smartphone</v>
          </cell>
          <cell r="H129">
            <v>5</v>
          </cell>
          <cell r="N129">
            <v>3499.95</v>
          </cell>
        </row>
        <row r="130">
          <cell r="A130" t="str">
            <v>TRX0034</v>
          </cell>
          <cell r="F130" t="str">
            <v>Smartphone</v>
          </cell>
          <cell r="H130">
            <v>4</v>
          </cell>
          <cell r="N130">
            <v>2799.96</v>
          </cell>
        </row>
        <row r="131">
          <cell r="A131" t="str">
            <v>TRX0189</v>
          </cell>
          <cell r="F131" t="str">
            <v>Laptop</v>
          </cell>
          <cell r="H131">
            <v>1</v>
          </cell>
          <cell r="N131">
            <v>899.99</v>
          </cell>
        </row>
        <row r="132">
          <cell r="A132" t="str">
            <v>TRX0190</v>
          </cell>
          <cell r="F132" t="str">
            <v>Headphones</v>
          </cell>
          <cell r="H132">
            <v>2</v>
          </cell>
          <cell r="N132">
            <v>299.98</v>
          </cell>
        </row>
        <row r="133">
          <cell r="A133" t="str">
            <v>TRX0079</v>
          </cell>
          <cell r="F133" t="str">
            <v>Keyboard</v>
          </cell>
          <cell r="H133">
            <v>3</v>
          </cell>
          <cell r="N133">
            <v>269.97000000000003</v>
          </cell>
        </row>
        <row r="134">
          <cell r="A134" t="str">
            <v>TRX0095</v>
          </cell>
          <cell r="F134" t="str">
            <v>Headphones</v>
          </cell>
          <cell r="H134">
            <v>2</v>
          </cell>
          <cell r="N134">
            <v>299.98</v>
          </cell>
        </row>
        <row r="135">
          <cell r="A135" t="str">
            <v>TRX0009</v>
          </cell>
          <cell r="F135" t="str">
            <v>Smartphone</v>
          </cell>
          <cell r="H135">
            <v>2</v>
          </cell>
          <cell r="N135">
            <v>1399.98</v>
          </cell>
        </row>
        <row r="136">
          <cell r="A136" t="str">
            <v>TRX0167</v>
          </cell>
          <cell r="F136" t="str">
            <v>Smartphone</v>
          </cell>
          <cell r="H136">
            <v>5</v>
          </cell>
          <cell r="N136">
            <v>3499.95</v>
          </cell>
        </row>
        <row r="137">
          <cell r="A137" t="str">
            <v>TRX0153</v>
          </cell>
          <cell r="F137" t="str">
            <v>Keyboard</v>
          </cell>
          <cell r="H137">
            <v>3</v>
          </cell>
          <cell r="N137">
            <v>269.97000000000003</v>
          </cell>
        </row>
        <row r="138">
          <cell r="A138" t="str">
            <v>TRX0057</v>
          </cell>
          <cell r="F138" t="str">
            <v>Monitor</v>
          </cell>
          <cell r="H138">
            <v>5</v>
          </cell>
          <cell r="N138">
            <v>1249.95</v>
          </cell>
        </row>
        <row r="139">
          <cell r="A139" t="str">
            <v>TRX0017</v>
          </cell>
          <cell r="F139" t="str">
            <v>Desk</v>
          </cell>
          <cell r="H139">
            <v>3</v>
          </cell>
          <cell r="N139">
            <v>899.97</v>
          </cell>
        </row>
        <row r="140">
          <cell r="A140" t="str">
            <v>TRX0060</v>
          </cell>
          <cell r="F140" t="str">
            <v>Keyboard</v>
          </cell>
          <cell r="H140">
            <v>3</v>
          </cell>
          <cell r="N140">
            <v>269.97000000000003</v>
          </cell>
        </row>
        <row r="141">
          <cell r="A141" t="str">
            <v>TRX0109</v>
          </cell>
          <cell r="F141" t="str">
            <v>Bookshelf</v>
          </cell>
          <cell r="H141">
            <v>2</v>
          </cell>
          <cell r="N141">
            <v>299.98</v>
          </cell>
        </row>
        <row r="142">
          <cell r="A142" t="str">
            <v>TRX0090</v>
          </cell>
          <cell r="F142" t="str">
            <v>Monitor</v>
          </cell>
          <cell r="H142">
            <v>1</v>
          </cell>
          <cell r="N142">
            <v>249.99</v>
          </cell>
        </row>
        <row r="143">
          <cell r="A143" t="str">
            <v>TRX0035</v>
          </cell>
          <cell r="F143" t="str">
            <v>Headphones</v>
          </cell>
          <cell r="H143">
            <v>3</v>
          </cell>
          <cell r="N143">
            <v>449.97</v>
          </cell>
        </row>
        <row r="144">
          <cell r="A144" t="str">
            <v>TRX0172</v>
          </cell>
          <cell r="F144" t="str">
            <v>Blender</v>
          </cell>
          <cell r="H144">
            <v>5</v>
          </cell>
          <cell r="N144">
            <v>299.95</v>
          </cell>
        </row>
        <row r="145">
          <cell r="A145" t="str">
            <v>TRX0076</v>
          </cell>
          <cell r="F145" t="str">
            <v>Monitor</v>
          </cell>
          <cell r="H145">
            <v>4</v>
          </cell>
          <cell r="N145">
            <v>999.96</v>
          </cell>
        </row>
        <row r="146">
          <cell r="A146" t="str">
            <v>TRX0210</v>
          </cell>
          <cell r="F146" t="str">
            <v>Bookshelf</v>
          </cell>
          <cell r="H146">
            <v>5</v>
          </cell>
          <cell r="N146">
            <v>749.95</v>
          </cell>
        </row>
        <row r="147">
          <cell r="A147" t="str">
            <v>TRX0149</v>
          </cell>
          <cell r="F147" t="str">
            <v>Blender</v>
          </cell>
          <cell r="H147">
            <v>3</v>
          </cell>
          <cell r="N147">
            <v>179.97</v>
          </cell>
        </row>
        <row r="148">
          <cell r="A148" t="str">
            <v>TRX0073</v>
          </cell>
          <cell r="F148" t="str">
            <v>Bookshelf</v>
          </cell>
          <cell r="H148">
            <v>5</v>
          </cell>
          <cell r="N148">
            <v>749.95</v>
          </cell>
        </row>
        <row r="149">
          <cell r="A149" t="str">
            <v>TRX0033</v>
          </cell>
          <cell r="F149" t="str">
            <v>Smartphone</v>
          </cell>
          <cell r="H149">
            <v>2</v>
          </cell>
          <cell r="N149">
            <v>1399.98</v>
          </cell>
        </row>
        <row r="150">
          <cell r="A150" t="str">
            <v>TRX0160</v>
          </cell>
          <cell r="F150" t="str">
            <v>Office Chair</v>
          </cell>
          <cell r="H150">
            <v>4</v>
          </cell>
          <cell r="N150">
            <v>799.96</v>
          </cell>
        </row>
        <row r="151">
          <cell r="A151" t="str">
            <v>TRX0145</v>
          </cell>
          <cell r="F151" t="str">
            <v>Blender</v>
          </cell>
          <cell r="H151">
            <v>1</v>
          </cell>
          <cell r="N151">
            <v>59.99</v>
          </cell>
        </row>
        <row r="152">
          <cell r="A152" t="str">
            <v>TRX0148</v>
          </cell>
          <cell r="F152" t="str">
            <v>Smartphone</v>
          </cell>
          <cell r="H152">
            <v>3</v>
          </cell>
          <cell r="N152">
            <v>2099.9699999999998</v>
          </cell>
        </row>
        <row r="153">
          <cell r="A153" t="str">
            <v>TRX0012</v>
          </cell>
          <cell r="F153" t="str">
            <v>Monitor</v>
          </cell>
          <cell r="H153">
            <v>5</v>
          </cell>
          <cell r="N153">
            <v>1249.95</v>
          </cell>
        </row>
        <row r="154">
          <cell r="A154" t="str">
            <v>TRX0206</v>
          </cell>
          <cell r="F154" t="str">
            <v>Bookshelf</v>
          </cell>
          <cell r="H154">
            <v>2</v>
          </cell>
          <cell r="N154">
            <v>299.98</v>
          </cell>
        </row>
        <row r="155">
          <cell r="A155" t="str">
            <v>TRX0045</v>
          </cell>
          <cell r="F155" t="str">
            <v>Desk</v>
          </cell>
          <cell r="H155">
            <v>3</v>
          </cell>
          <cell r="N155">
            <v>899.97</v>
          </cell>
        </row>
        <row r="156">
          <cell r="A156" t="str">
            <v>TRX0094</v>
          </cell>
          <cell r="F156" t="str">
            <v>Monitor</v>
          </cell>
          <cell r="H156">
            <v>5</v>
          </cell>
          <cell r="N156">
            <v>1249.95</v>
          </cell>
        </row>
        <row r="157">
          <cell r="A157" t="str">
            <v>TRX0133</v>
          </cell>
          <cell r="F157" t="str">
            <v>Headphones</v>
          </cell>
          <cell r="H157">
            <v>2</v>
          </cell>
          <cell r="N157">
            <v>299.98</v>
          </cell>
        </row>
        <row r="158">
          <cell r="A158" t="str">
            <v>TRX0201</v>
          </cell>
          <cell r="F158" t="str">
            <v>Smartphone</v>
          </cell>
          <cell r="H158">
            <v>5</v>
          </cell>
          <cell r="N158">
            <v>3499.95</v>
          </cell>
        </row>
        <row r="159">
          <cell r="A159" t="str">
            <v>TRX0137</v>
          </cell>
          <cell r="F159" t="str">
            <v>Monitor</v>
          </cell>
          <cell r="H159">
            <v>4</v>
          </cell>
          <cell r="N159">
            <v>999.96</v>
          </cell>
        </row>
        <row r="160">
          <cell r="A160" t="str">
            <v>TRX0066</v>
          </cell>
          <cell r="F160" t="str">
            <v>Smartphone</v>
          </cell>
          <cell r="H160">
            <v>4</v>
          </cell>
          <cell r="N160">
            <v>2799.96</v>
          </cell>
        </row>
        <row r="161">
          <cell r="A161" t="str">
            <v>TRX0180</v>
          </cell>
          <cell r="F161" t="str">
            <v>Monitor</v>
          </cell>
          <cell r="H161">
            <v>2</v>
          </cell>
          <cell r="N161">
            <v>499.98</v>
          </cell>
        </row>
        <row r="162">
          <cell r="A162" t="str">
            <v>TRX0082</v>
          </cell>
          <cell r="F162" t="str">
            <v>Blender</v>
          </cell>
          <cell r="H162">
            <v>3</v>
          </cell>
          <cell r="N162">
            <v>179.97</v>
          </cell>
        </row>
        <row r="163">
          <cell r="A163" t="str">
            <v>TRX0036</v>
          </cell>
          <cell r="F163" t="str">
            <v>Coffee Maker</v>
          </cell>
          <cell r="H163">
            <v>4</v>
          </cell>
          <cell r="N163">
            <v>319.95999999999998</v>
          </cell>
        </row>
        <row r="164">
          <cell r="A164" t="str">
            <v>TRX0198</v>
          </cell>
          <cell r="F164" t="str">
            <v>Coffee Maker</v>
          </cell>
          <cell r="H164">
            <v>3</v>
          </cell>
          <cell r="N164">
            <v>239.97</v>
          </cell>
        </row>
        <row r="165">
          <cell r="A165" t="str">
            <v>TRX0032</v>
          </cell>
          <cell r="F165" t="str">
            <v>Laptop</v>
          </cell>
          <cell r="H165">
            <v>2</v>
          </cell>
          <cell r="N165">
            <v>1799.98</v>
          </cell>
        </row>
        <row r="166">
          <cell r="A166" t="str">
            <v>TRX0081</v>
          </cell>
          <cell r="F166" t="str">
            <v>Bookshelf</v>
          </cell>
          <cell r="H166">
            <v>1</v>
          </cell>
          <cell r="N166">
            <v>149.99</v>
          </cell>
        </row>
        <row r="167">
          <cell r="A167" t="str">
            <v>TRX0224</v>
          </cell>
          <cell r="F167" t="str">
            <v>Desk</v>
          </cell>
          <cell r="H167">
            <v>2</v>
          </cell>
          <cell r="N167">
            <v>599.98</v>
          </cell>
        </row>
        <row r="168">
          <cell r="A168" t="str">
            <v>TRX0028</v>
          </cell>
          <cell r="F168" t="str">
            <v>Blender</v>
          </cell>
          <cell r="H168">
            <v>2</v>
          </cell>
          <cell r="N168">
            <v>119.98</v>
          </cell>
        </row>
        <row r="169">
          <cell r="A169" t="str">
            <v>TRX0183</v>
          </cell>
          <cell r="F169" t="str">
            <v>Keyboard</v>
          </cell>
          <cell r="H169">
            <v>1</v>
          </cell>
          <cell r="N169">
            <v>89.99</v>
          </cell>
        </row>
        <row r="170">
          <cell r="A170" t="str">
            <v>TRX0163</v>
          </cell>
          <cell r="F170" t="str">
            <v>Laptop</v>
          </cell>
          <cell r="H170">
            <v>5</v>
          </cell>
          <cell r="N170">
            <v>4499.95</v>
          </cell>
        </row>
        <row r="171">
          <cell r="A171" t="str">
            <v>TRX0046</v>
          </cell>
          <cell r="F171" t="str">
            <v>Bookshelf</v>
          </cell>
          <cell r="H171">
            <v>2</v>
          </cell>
          <cell r="N171">
            <v>299.98</v>
          </cell>
        </row>
        <row r="172">
          <cell r="A172" t="str">
            <v>TRX0164</v>
          </cell>
          <cell r="F172" t="str">
            <v>Headphones</v>
          </cell>
          <cell r="H172">
            <v>2</v>
          </cell>
          <cell r="N172">
            <v>299.98</v>
          </cell>
        </row>
        <row r="173">
          <cell r="A173" t="str">
            <v>TRX0008</v>
          </cell>
          <cell r="F173" t="str">
            <v>Bookshelf</v>
          </cell>
          <cell r="H173">
            <v>3</v>
          </cell>
          <cell r="N173">
            <v>449.97</v>
          </cell>
        </row>
        <row r="174">
          <cell r="A174" t="str">
            <v>TRX0171</v>
          </cell>
          <cell r="F174" t="str">
            <v>Desk</v>
          </cell>
          <cell r="H174">
            <v>2</v>
          </cell>
          <cell r="N174">
            <v>599.98</v>
          </cell>
        </row>
        <row r="175">
          <cell r="A175" t="str">
            <v>TRX0143</v>
          </cell>
          <cell r="F175" t="str">
            <v>Desk</v>
          </cell>
          <cell r="H175">
            <v>2</v>
          </cell>
          <cell r="N175">
            <v>599.98</v>
          </cell>
        </row>
        <row r="176">
          <cell r="A176" t="str">
            <v>TRX0165</v>
          </cell>
          <cell r="F176" t="str">
            <v>Office Chair</v>
          </cell>
          <cell r="H176">
            <v>4</v>
          </cell>
          <cell r="N176">
            <v>799.96</v>
          </cell>
        </row>
        <row r="177">
          <cell r="A177" t="str">
            <v>TRX0156</v>
          </cell>
          <cell r="F177" t="str">
            <v>Keyboard</v>
          </cell>
          <cell r="H177">
            <v>1</v>
          </cell>
          <cell r="N177">
            <v>89.99</v>
          </cell>
        </row>
        <row r="178">
          <cell r="A178" t="str">
            <v>TRX0147</v>
          </cell>
          <cell r="F178" t="str">
            <v>Bookshelf</v>
          </cell>
          <cell r="H178">
            <v>5</v>
          </cell>
          <cell r="N178">
            <v>749.95</v>
          </cell>
        </row>
        <row r="179">
          <cell r="A179" t="str">
            <v>TRX0207</v>
          </cell>
          <cell r="F179" t="str">
            <v>Laptop</v>
          </cell>
          <cell r="H179">
            <v>1</v>
          </cell>
          <cell r="N179">
            <v>899.99</v>
          </cell>
        </row>
        <row r="180">
          <cell r="A180" t="str">
            <v>TRX0056</v>
          </cell>
          <cell r="F180" t="str">
            <v>Keyboard</v>
          </cell>
          <cell r="H180">
            <v>2</v>
          </cell>
          <cell r="N180">
            <v>179.98</v>
          </cell>
        </row>
        <row r="181">
          <cell r="A181" t="str">
            <v>TRX0026</v>
          </cell>
          <cell r="F181" t="str">
            <v>Laptop</v>
          </cell>
          <cell r="H181">
            <v>1</v>
          </cell>
          <cell r="N181">
            <v>899.99</v>
          </cell>
        </row>
        <row r="182">
          <cell r="A182" t="str">
            <v>TRX0237</v>
          </cell>
          <cell r="F182" t="str">
            <v>Headphones</v>
          </cell>
          <cell r="H182">
            <v>5</v>
          </cell>
          <cell r="N182">
            <v>749.95</v>
          </cell>
        </row>
        <row r="183">
          <cell r="A183" t="str">
            <v>TRX0091</v>
          </cell>
          <cell r="F183" t="str">
            <v>Desk</v>
          </cell>
          <cell r="H183">
            <v>3</v>
          </cell>
          <cell r="N183">
            <v>899.97</v>
          </cell>
        </row>
        <row r="184">
          <cell r="A184" t="str">
            <v>TRX0125</v>
          </cell>
          <cell r="F184" t="str">
            <v>Smartphone</v>
          </cell>
          <cell r="H184">
            <v>3</v>
          </cell>
          <cell r="N184">
            <v>2099.9699999999998</v>
          </cell>
        </row>
        <row r="185">
          <cell r="A185" t="str">
            <v>TRX0223</v>
          </cell>
          <cell r="F185" t="str">
            <v>Office Chair</v>
          </cell>
          <cell r="H185">
            <v>5</v>
          </cell>
          <cell r="N185">
            <v>999.95</v>
          </cell>
        </row>
        <row r="186">
          <cell r="A186" t="str">
            <v>TRX0243</v>
          </cell>
          <cell r="F186" t="str">
            <v>Monitor</v>
          </cell>
          <cell r="H186">
            <v>5</v>
          </cell>
          <cell r="N186">
            <v>1249.95</v>
          </cell>
        </row>
        <row r="187">
          <cell r="A187" t="str">
            <v>TRX0084</v>
          </cell>
          <cell r="F187" t="str">
            <v>Headphones</v>
          </cell>
          <cell r="H187">
            <v>4</v>
          </cell>
          <cell r="N187">
            <v>599.96</v>
          </cell>
        </row>
        <row r="188">
          <cell r="A188" t="str">
            <v>TRX0238</v>
          </cell>
          <cell r="F188" t="str">
            <v>Smartphone</v>
          </cell>
          <cell r="H188">
            <v>3</v>
          </cell>
          <cell r="N188">
            <v>2099.9699999999998</v>
          </cell>
        </row>
        <row r="189">
          <cell r="A189" t="str">
            <v>TRX0102</v>
          </cell>
          <cell r="F189" t="str">
            <v>Coffee Maker</v>
          </cell>
          <cell r="H189">
            <v>1</v>
          </cell>
          <cell r="N189">
            <v>79.989999999999995</v>
          </cell>
        </row>
        <row r="190">
          <cell r="A190" t="str">
            <v>TRX0022</v>
          </cell>
          <cell r="F190" t="str">
            <v>Desk</v>
          </cell>
          <cell r="H190">
            <v>1</v>
          </cell>
          <cell r="N190">
            <v>299.99</v>
          </cell>
        </row>
        <row r="191">
          <cell r="A191" t="str">
            <v>TRX0087</v>
          </cell>
          <cell r="F191" t="str">
            <v>Monitor</v>
          </cell>
          <cell r="H191">
            <v>4</v>
          </cell>
          <cell r="N191">
            <v>999.96</v>
          </cell>
        </row>
        <row r="192">
          <cell r="A192" t="str">
            <v>TRX0107</v>
          </cell>
          <cell r="F192" t="str">
            <v>Headphones</v>
          </cell>
          <cell r="H192">
            <v>2</v>
          </cell>
          <cell r="N192">
            <v>299.98</v>
          </cell>
        </row>
        <row r="193">
          <cell r="A193" t="str">
            <v>TRX0051</v>
          </cell>
          <cell r="F193" t="str">
            <v>Desk</v>
          </cell>
          <cell r="H193">
            <v>3</v>
          </cell>
          <cell r="N193">
            <v>899.97</v>
          </cell>
        </row>
        <row r="194">
          <cell r="A194" t="str">
            <v>TRX0106</v>
          </cell>
          <cell r="F194" t="str">
            <v>Office Chair</v>
          </cell>
          <cell r="H194">
            <v>4</v>
          </cell>
          <cell r="N194">
            <v>799.96</v>
          </cell>
        </row>
        <row r="195">
          <cell r="A195" t="str">
            <v>TRX0059</v>
          </cell>
          <cell r="F195" t="str">
            <v>Desk</v>
          </cell>
          <cell r="H195">
            <v>5</v>
          </cell>
          <cell r="N195">
            <v>1499.95</v>
          </cell>
        </row>
        <row r="196">
          <cell r="A196" t="str">
            <v>TRX0072</v>
          </cell>
          <cell r="F196" t="str">
            <v>Bookshelf</v>
          </cell>
          <cell r="H196">
            <v>3</v>
          </cell>
          <cell r="N196">
            <v>449.97</v>
          </cell>
        </row>
        <row r="197">
          <cell r="A197" t="str">
            <v>TRX0110</v>
          </cell>
          <cell r="F197" t="str">
            <v>Blender</v>
          </cell>
          <cell r="H197">
            <v>5</v>
          </cell>
          <cell r="N197">
            <v>299.95</v>
          </cell>
        </row>
        <row r="198">
          <cell r="A198" t="str">
            <v>TRX0126</v>
          </cell>
          <cell r="F198" t="str">
            <v>Blender</v>
          </cell>
          <cell r="H198">
            <v>4</v>
          </cell>
          <cell r="N198">
            <v>239.96</v>
          </cell>
        </row>
        <row r="199">
          <cell r="A199" t="str">
            <v>TRX0159</v>
          </cell>
          <cell r="F199" t="str">
            <v>Monitor</v>
          </cell>
          <cell r="H199">
            <v>4</v>
          </cell>
          <cell r="N199">
            <v>999.96</v>
          </cell>
        </row>
        <row r="200">
          <cell r="A200" t="str">
            <v>TRX0030</v>
          </cell>
          <cell r="F200" t="str">
            <v>Laptop</v>
          </cell>
          <cell r="H200">
            <v>4</v>
          </cell>
          <cell r="N200">
            <v>3599.96</v>
          </cell>
        </row>
        <row r="201">
          <cell r="A201" t="str">
            <v>TRX0178</v>
          </cell>
          <cell r="F201" t="str">
            <v>Desk</v>
          </cell>
          <cell r="H201">
            <v>3</v>
          </cell>
          <cell r="N201">
            <v>899.97</v>
          </cell>
        </row>
        <row r="202">
          <cell r="A202" t="str">
            <v>TRX0188</v>
          </cell>
          <cell r="F202" t="str">
            <v>Smartphone</v>
          </cell>
          <cell r="H202">
            <v>2</v>
          </cell>
          <cell r="N202">
            <v>1399.98</v>
          </cell>
        </row>
        <row r="203">
          <cell r="A203" t="str">
            <v>TRX0010</v>
          </cell>
          <cell r="F203" t="str">
            <v>Smartphone</v>
          </cell>
          <cell r="H203">
            <v>4</v>
          </cell>
          <cell r="N203">
            <v>2799.96</v>
          </cell>
        </row>
        <row r="204">
          <cell r="A204" t="str">
            <v>TRX0069</v>
          </cell>
          <cell r="F204" t="str">
            <v>Keyboard</v>
          </cell>
          <cell r="H204">
            <v>2</v>
          </cell>
          <cell r="N204">
            <v>179.98</v>
          </cell>
        </row>
        <row r="205">
          <cell r="A205" t="str">
            <v>TRX0166</v>
          </cell>
          <cell r="F205" t="str">
            <v>Keyboard</v>
          </cell>
          <cell r="H205">
            <v>3</v>
          </cell>
          <cell r="N205">
            <v>269.97000000000003</v>
          </cell>
        </row>
        <row r="206">
          <cell r="A206" t="str">
            <v>TRX0219</v>
          </cell>
          <cell r="F206" t="str">
            <v>Blender</v>
          </cell>
          <cell r="H206">
            <v>1</v>
          </cell>
          <cell r="N206">
            <v>59.99</v>
          </cell>
        </row>
        <row r="207">
          <cell r="A207" t="str">
            <v>TRX0024</v>
          </cell>
          <cell r="F207" t="str">
            <v>Bookshelf</v>
          </cell>
          <cell r="H207">
            <v>3</v>
          </cell>
          <cell r="N207">
            <v>449.97</v>
          </cell>
        </row>
        <row r="208">
          <cell r="A208" t="str">
            <v>TRX0105</v>
          </cell>
          <cell r="F208" t="str">
            <v>Desk</v>
          </cell>
          <cell r="H208">
            <v>5</v>
          </cell>
          <cell r="N208">
            <v>1499.95</v>
          </cell>
        </row>
        <row r="209">
          <cell r="A209" t="str">
            <v>TRX0011</v>
          </cell>
          <cell r="F209" t="str">
            <v>Blender</v>
          </cell>
          <cell r="H209">
            <v>5</v>
          </cell>
          <cell r="N209">
            <v>299.95</v>
          </cell>
        </row>
        <row r="210">
          <cell r="A210" t="str">
            <v>TRX0187</v>
          </cell>
          <cell r="F210" t="str">
            <v>Coffee Maker</v>
          </cell>
          <cell r="H210">
            <v>3</v>
          </cell>
          <cell r="N210">
            <v>239.97</v>
          </cell>
        </row>
        <row r="211">
          <cell r="A211" t="str">
            <v>TRX0089</v>
          </cell>
          <cell r="F211" t="str">
            <v>Office Chair</v>
          </cell>
          <cell r="H211">
            <v>3</v>
          </cell>
          <cell r="N211">
            <v>599.97</v>
          </cell>
        </row>
        <row r="212">
          <cell r="A212" t="str">
            <v>TRX0196</v>
          </cell>
          <cell r="F212" t="str">
            <v>Keyboard</v>
          </cell>
          <cell r="H212">
            <v>2</v>
          </cell>
          <cell r="N212">
            <v>179.98</v>
          </cell>
        </row>
        <row r="213">
          <cell r="A213" t="str">
            <v>TRX0118</v>
          </cell>
          <cell r="F213" t="str">
            <v>Bookshelf</v>
          </cell>
          <cell r="H213">
            <v>2</v>
          </cell>
          <cell r="N213">
            <v>299.98</v>
          </cell>
        </row>
        <row r="214">
          <cell r="A214" t="str">
            <v>TRX0179</v>
          </cell>
          <cell r="F214" t="str">
            <v>Smartphone</v>
          </cell>
          <cell r="H214">
            <v>5</v>
          </cell>
          <cell r="N214">
            <v>3499.95</v>
          </cell>
        </row>
        <row r="215">
          <cell r="A215" t="str">
            <v>TRX0168</v>
          </cell>
          <cell r="F215" t="str">
            <v>Bookshelf</v>
          </cell>
          <cell r="H215">
            <v>3</v>
          </cell>
          <cell r="N215">
            <v>449.97</v>
          </cell>
        </row>
        <row r="216">
          <cell r="A216" t="str">
            <v>TRX0214</v>
          </cell>
          <cell r="F216" t="str">
            <v>Laptop</v>
          </cell>
          <cell r="H216">
            <v>3</v>
          </cell>
          <cell r="N216">
            <v>2699.97</v>
          </cell>
        </row>
        <row r="217">
          <cell r="A217" t="str">
            <v>TRX0221</v>
          </cell>
          <cell r="F217" t="str">
            <v>Office Chair</v>
          </cell>
          <cell r="H217">
            <v>3</v>
          </cell>
          <cell r="N217">
            <v>599.97</v>
          </cell>
        </row>
        <row r="218">
          <cell r="A218" t="str">
            <v>TRX0083</v>
          </cell>
          <cell r="F218" t="str">
            <v>Desk</v>
          </cell>
          <cell r="H218">
            <v>5</v>
          </cell>
          <cell r="N218">
            <v>1499.95</v>
          </cell>
        </row>
        <row r="219">
          <cell r="A219" t="str">
            <v>TRX0151</v>
          </cell>
          <cell r="F219" t="str">
            <v>Smartphone</v>
          </cell>
          <cell r="H219">
            <v>1</v>
          </cell>
          <cell r="N219">
            <v>699.99</v>
          </cell>
        </row>
        <row r="220">
          <cell r="A220" t="str">
            <v>TRX0047</v>
          </cell>
          <cell r="F220" t="str">
            <v>Smartphone</v>
          </cell>
          <cell r="H220">
            <v>1</v>
          </cell>
          <cell r="N220">
            <v>699.99</v>
          </cell>
        </row>
        <row r="221">
          <cell r="A221" t="str">
            <v>TRX0200</v>
          </cell>
          <cell r="F221" t="str">
            <v>Bookshelf</v>
          </cell>
          <cell r="H221">
            <v>4</v>
          </cell>
          <cell r="N221">
            <v>599.96</v>
          </cell>
        </row>
        <row r="222">
          <cell r="A222" t="str">
            <v>TRX0062</v>
          </cell>
          <cell r="F222" t="str">
            <v>Keyboard</v>
          </cell>
          <cell r="H222">
            <v>5</v>
          </cell>
          <cell r="N222">
            <v>449.95</v>
          </cell>
        </row>
        <row r="223">
          <cell r="A223" t="str">
            <v>TRX0182</v>
          </cell>
          <cell r="F223" t="str">
            <v>Office Chair</v>
          </cell>
          <cell r="H223">
            <v>2</v>
          </cell>
          <cell r="N223">
            <v>399.98</v>
          </cell>
        </row>
        <row r="224">
          <cell r="A224" t="str">
            <v>TRX0229</v>
          </cell>
          <cell r="F224" t="str">
            <v>Blender</v>
          </cell>
          <cell r="H224">
            <v>4</v>
          </cell>
          <cell r="N224">
            <v>239.96</v>
          </cell>
        </row>
        <row r="225">
          <cell r="A225" t="str">
            <v>TRX0048</v>
          </cell>
          <cell r="F225" t="str">
            <v>Desk</v>
          </cell>
          <cell r="H225">
            <v>2</v>
          </cell>
          <cell r="N225">
            <v>599.98</v>
          </cell>
        </row>
        <row r="226">
          <cell r="A226" t="str">
            <v>TRX0227</v>
          </cell>
          <cell r="F226" t="str">
            <v>Bookshelf</v>
          </cell>
          <cell r="H226">
            <v>2</v>
          </cell>
          <cell r="N226">
            <v>299.98</v>
          </cell>
        </row>
        <row r="227">
          <cell r="A227" t="str">
            <v>TRX0226</v>
          </cell>
          <cell r="F227" t="str">
            <v>Smartphone</v>
          </cell>
          <cell r="H227">
            <v>5</v>
          </cell>
          <cell r="N227">
            <v>3499.95</v>
          </cell>
        </row>
        <row r="228">
          <cell r="A228" t="str">
            <v>TRX0053</v>
          </cell>
          <cell r="F228" t="str">
            <v>Blender</v>
          </cell>
          <cell r="H228">
            <v>5</v>
          </cell>
          <cell r="N228">
            <v>299.95</v>
          </cell>
        </row>
        <row r="229">
          <cell r="A229" t="str">
            <v>TRX0233</v>
          </cell>
          <cell r="F229" t="str">
            <v>Keyboard</v>
          </cell>
          <cell r="H229">
            <v>2</v>
          </cell>
          <cell r="N229">
            <v>179.98</v>
          </cell>
        </row>
        <row r="230">
          <cell r="A230" t="str">
            <v>TRX0175</v>
          </cell>
          <cell r="F230" t="str">
            <v>Monitor</v>
          </cell>
          <cell r="H230">
            <v>5</v>
          </cell>
          <cell r="N230">
            <v>1249.95</v>
          </cell>
        </row>
        <row r="231">
          <cell r="A231" t="str">
            <v>TRX0186</v>
          </cell>
          <cell r="F231" t="str">
            <v>Bookshelf</v>
          </cell>
          <cell r="H231">
            <v>2</v>
          </cell>
          <cell r="N231">
            <v>299.98</v>
          </cell>
        </row>
        <row r="232">
          <cell r="A232" t="str">
            <v>TRX0016</v>
          </cell>
          <cell r="F232" t="str">
            <v>Laptop</v>
          </cell>
          <cell r="H232">
            <v>5</v>
          </cell>
          <cell r="N232">
            <v>4499.95</v>
          </cell>
        </row>
        <row r="233">
          <cell r="A233" t="str">
            <v>TRX0199</v>
          </cell>
          <cell r="F233" t="str">
            <v>Bookshelf</v>
          </cell>
          <cell r="H233">
            <v>4</v>
          </cell>
          <cell r="N233">
            <v>599.96</v>
          </cell>
        </row>
        <row r="234">
          <cell r="A234" t="str">
            <v>TRX0038</v>
          </cell>
          <cell r="F234" t="str">
            <v>Monitor</v>
          </cell>
          <cell r="H234">
            <v>1</v>
          </cell>
          <cell r="N234">
            <v>249.99</v>
          </cell>
        </row>
        <row r="235">
          <cell r="A235" t="str">
            <v>TRX0014</v>
          </cell>
          <cell r="F235" t="str">
            <v>Blender</v>
          </cell>
          <cell r="H235">
            <v>2</v>
          </cell>
          <cell r="N235">
            <v>119.98</v>
          </cell>
        </row>
        <row r="236">
          <cell r="A236" t="str">
            <v>TRX0003</v>
          </cell>
          <cell r="F236" t="str">
            <v>Bookshelf</v>
          </cell>
          <cell r="H236">
            <v>2</v>
          </cell>
          <cell r="N236">
            <v>299.98</v>
          </cell>
        </row>
        <row r="237">
          <cell r="A237" t="str">
            <v>TRX0124</v>
          </cell>
          <cell r="F237" t="str">
            <v>Laptop</v>
          </cell>
          <cell r="H237">
            <v>3</v>
          </cell>
          <cell r="N237">
            <v>2699.97</v>
          </cell>
        </row>
        <row r="238">
          <cell r="A238" t="str">
            <v>TRX0013</v>
          </cell>
          <cell r="F238" t="str">
            <v>Laptop</v>
          </cell>
          <cell r="H238">
            <v>3</v>
          </cell>
          <cell r="N238">
            <v>2699.97</v>
          </cell>
        </row>
        <row r="239">
          <cell r="A239" t="str">
            <v>TRX0019</v>
          </cell>
          <cell r="F239" t="str">
            <v>Desk</v>
          </cell>
          <cell r="H239">
            <v>3</v>
          </cell>
          <cell r="N239">
            <v>899.97</v>
          </cell>
        </row>
        <row r="240">
          <cell r="A240" t="str">
            <v>TRX0050</v>
          </cell>
          <cell r="F240" t="str">
            <v>Bookshelf</v>
          </cell>
          <cell r="H240">
            <v>4</v>
          </cell>
          <cell r="N240">
            <v>599.96</v>
          </cell>
        </row>
        <row r="241">
          <cell r="A241" t="str">
            <v>TRX0152</v>
          </cell>
          <cell r="F241" t="str">
            <v>Coffee Maker</v>
          </cell>
          <cell r="H241">
            <v>4</v>
          </cell>
          <cell r="N241">
            <v>319.95999999999998</v>
          </cell>
        </row>
        <row r="242">
          <cell r="A242" t="str">
            <v>TRX0213</v>
          </cell>
          <cell r="F242" t="str">
            <v>Keyboard</v>
          </cell>
          <cell r="H242">
            <v>5</v>
          </cell>
          <cell r="N242">
            <v>449.95</v>
          </cell>
        </row>
        <row r="243">
          <cell r="A243" t="str">
            <v>TRX0197</v>
          </cell>
          <cell r="F243" t="str">
            <v>Bookshelf</v>
          </cell>
          <cell r="H243">
            <v>3</v>
          </cell>
          <cell r="N243">
            <v>449.97</v>
          </cell>
        </row>
        <row r="244">
          <cell r="A244" t="str">
            <v>TRX0250</v>
          </cell>
          <cell r="F244" t="str">
            <v>Keyboard</v>
          </cell>
          <cell r="H244">
            <v>2</v>
          </cell>
          <cell r="N244">
            <v>179.98</v>
          </cell>
        </row>
        <row r="245">
          <cell r="A245" t="str">
            <v>TRX0068</v>
          </cell>
          <cell r="F245" t="str">
            <v>Smartphone</v>
          </cell>
          <cell r="H245">
            <v>2</v>
          </cell>
          <cell r="N245">
            <v>1399.98</v>
          </cell>
        </row>
        <row r="246">
          <cell r="A246" t="str">
            <v>TRX0144</v>
          </cell>
          <cell r="F246" t="str">
            <v>Laptop</v>
          </cell>
          <cell r="H246">
            <v>3</v>
          </cell>
          <cell r="N246">
            <v>2699.97</v>
          </cell>
        </row>
        <row r="247">
          <cell r="A247" t="str">
            <v>TRX0039</v>
          </cell>
          <cell r="F247" t="str">
            <v>Coffee Maker</v>
          </cell>
          <cell r="H247">
            <v>3</v>
          </cell>
          <cell r="N247">
            <v>239.97</v>
          </cell>
        </row>
        <row r="248">
          <cell r="A248" t="str">
            <v>TRX0116</v>
          </cell>
          <cell r="F248" t="str">
            <v>Keyboard</v>
          </cell>
          <cell r="H248">
            <v>1</v>
          </cell>
          <cell r="N248">
            <v>89.99</v>
          </cell>
        </row>
        <row r="249">
          <cell r="A249" t="str">
            <v>TRX0120</v>
          </cell>
          <cell r="F249" t="str">
            <v>Smartphone</v>
          </cell>
          <cell r="H249">
            <v>3</v>
          </cell>
          <cell r="N249">
            <v>2099.9699999999998</v>
          </cell>
        </row>
        <row r="250">
          <cell r="A250" t="str">
            <v>TRX0103</v>
          </cell>
          <cell r="F250" t="str">
            <v>Keyboard</v>
          </cell>
          <cell r="H250">
            <v>2</v>
          </cell>
          <cell r="N250">
            <v>179.98</v>
          </cell>
        </row>
        <row r="251">
          <cell r="A251" t="str">
            <v>TRX0064</v>
          </cell>
          <cell r="F251" t="str">
            <v>Keyboard</v>
          </cell>
          <cell r="H251">
            <v>3</v>
          </cell>
          <cell r="N251">
            <v>269.97000000000003</v>
          </cell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izations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Mali" refreshedDate="46281.431082175928" createdVersion="8" refreshedVersion="8" minRefreshableVersion="3" recordCount="250" xr:uid="{03A4AB26-DF21-42ED-B36E-C6DE92A0D9A8}">
  <cacheSource type="worksheet">
    <worksheetSource name="Table3"/>
  </cacheSource>
  <cacheFields count="22">
    <cacheField name="Transaction_ID" numFmtId="0">
      <sharedItems/>
    </cacheField>
    <cacheField name="Date" numFmtId="168">
      <sharedItems containsSemiMixedTypes="0" containsNonDate="0" containsDate="1" containsString="0" minDate="2024-04-11T00:00:00" maxDate="2025-04-12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  <fieldGroup par="21"/>
    </cacheField>
    <cacheField name="Customer_ID" numFmtId="0">
      <sharedItems/>
    </cacheField>
    <cacheField name="Customer_Name" numFmtId="0">
      <sharedItems/>
    </cacheField>
    <cacheField name="Product_ID" numFmtId="0">
      <sharedItems/>
    </cacheField>
    <cacheField name="Product_Name" numFmtId="0">
      <sharedItems/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1" maxValue="5" count="5">
        <n v="3"/>
        <n v="5"/>
        <n v="2"/>
        <n v="1"/>
        <n v="4"/>
      </sharedItems>
    </cacheField>
    <cacheField name="Unit_Price" numFmtId="169">
      <sharedItems containsSemiMixedTypes="0" containsString="0" containsNumber="1" minValue="59.99" maxValue="899.99"/>
    </cacheField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/>
    </cacheField>
    <cacheField name="Customer_Since" numFmtId="168">
      <sharedItems containsSemiMixedTypes="0" containsNonDate="0" containsDate="1" containsString="0" minDate="2021-07-18T00:00:00" maxDate="2024-04-12T00:00:00"/>
    </cacheField>
    <cacheField name="Total_Amount" numFmtId="0">
      <sharedItems containsSemiMixedTypes="0" containsString="0" containsNumber="1" minValue="59.99" maxValue="4499.95" count="44">
        <n v="749.97"/>
        <n v="179.97"/>
        <n v="749.95"/>
        <n v="119.98"/>
        <n v="2699.97"/>
        <n v="149.99"/>
        <n v="449.97"/>
        <n v="2099.9699999999998"/>
        <n v="899.99"/>
        <n v="599.96"/>
        <n v="1399.98"/>
        <n v="3599.96"/>
        <n v="3499.95"/>
        <n v="2799.96"/>
        <n v="999.96"/>
        <n v="1199.96"/>
        <n v="1249.95"/>
        <n v="1499.95"/>
        <n v="239.97"/>
        <n v="449.95"/>
        <n v="239.96"/>
        <n v="999.95"/>
        <n v="299.98"/>
        <n v="899.97"/>
        <n v="599.97"/>
        <n v="269.97000000000003"/>
        <n v="79.989999999999995"/>
        <n v="89.99"/>
        <n v="179.98"/>
        <n v="4499.95"/>
        <n v="59.99"/>
        <n v="599.98"/>
        <n v="359.96"/>
        <n v="399.95"/>
        <n v="299.99"/>
        <n v="399.98"/>
        <n v="499.98"/>
        <n v="799.96"/>
        <n v="699.99"/>
        <n v="249.99"/>
        <n v="319.95999999999998"/>
        <n v="199.99"/>
        <n v="299.95"/>
        <n v="1799.98"/>
      </sharedItems>
    </cacheField>
    <cacheField name="Order_Month" numFmtId="0">
      <sharedItems/>
    </cacheField>
    <cacheField name="Month_End" numFmtId="168">
      <sharedItems containsSemiMixedTypes="0" containsNonDate="0" containsDate="1" containsString="0" minDate="2024-04-30T00:00:00" maxDate="2025-05-01T00:00:00"/>
    </cacheField>
    <cacheField name="Customer_Tenure_Years" numFmtId="0">
      <sharedItems containsSemiMixedTypes="0" containsString="0" containsNumber="1" containsInteger="1" minValue="2" maxValue="5"/>
    </cacheField>
    <cacheField name="Timestamp" numFmtId="170">
      <sharedItems containsSemiMixedTypes="0" containsNonDate="0" containsDate="1" containsString="0" minDate="2026-09-16T10:20:18" maxDate="2026-09-16T10:20:18" count="1">
        <d v="2026-09-16T10:20:18"/>
      </sharedItems>
    </cacheField>
    <cacheField name="Name_Abbrev" numFmtId="0">
      <sharedItems/>
    </cacheField>
    <cacheField name="Months (Date)" numFmtId="0" databaseField="0">
      <fieldGroup base="1">
        <rangePr groupBy="months" startDate="2024-04-11T00:00:00" endDate="2025-04-12T00:00:00"/>
        <groupItems count="14">
          <s v="&lt;1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04-2025"/>
        </groupItems>
      </fieldGroup>
    </cacheField>
    <cacheField name="Quarters (Date)" numFmtId="0" databaseField="0">
      <fieldGroup base="1">
        <rangePr groupBy="quarters" startDate="2024-04-11T00:00:00" endDate="2025-04-12T00:00:00"/>
        <groupItems count="6">
          <s v="&lt;11-04-2024"/>
          <s v="Qtr1"/>
          <s v="Qtr2"/>
          <s v="Qtr3"/>
          <s v="Qtr4"/>
          <s v="&gt;12-04-2025"/>
        </groupItems>
      </fieldGroup>
    </cacheField>
    <cacheField name="Years (Date)" numFmtId="0" databaseField="0">
      <fieldGroup base="1">
        <rangePr groupBy="years" startDate="2024-04-11T00:00:00" endDate="2025-04-12T00:00:00"/>
        <groupItems count="4">
          <s v="&lt;11-04-2024"/>
          <s v="2024"/>
          <s v="2025"/>
          <s v="&gt;12-04-2025"/>
        </groupItems>
      </fieldGroup>
    </cacheField>
  </cacheFields>
  <extLst>
    <ext xmlns:x14="http://schemas.microsoft.com/office/spreadsheetml/2009/9/main" uri="{725AE2AE-9491-48be-B2B4-4EB974FC3084}">
      <x14:pivotCacheDefinition pivotCacheId="20969575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RX0155"/>
    <x v="0"/>
    <s v="CUST023"/>
    <s v="Paul Baker"/>
    <s v="P009"/>
    <s v="Monitor"/>
    <x v="0"/>
    <x v="0"/>
    <n v="249.99"/>
    <x v="0"/>
    <x v="0"/>
    <s v="Basic"/>
    <d v="2021-08-17T00:00:00"/>
    <x v="0"/>
    <s v="Apr-2024"/>
    <d v="2024-04-30T00:00:00"/>
    <n v="5"/>
    <x v="0"/>
    <s v="PB"/>
  </r>
  <r>
    <s v="TRX0023"/>
    <x v="1"/>
    <s v="CUST013"/>
    <s v="Joseph Jackson"/>
    <s v="P009"/>
    <s v="Monitor"/>
    <x v="0"/>
    <x v="0"/>
    <n v="249.99"/>
    <x v="1"/>
    <x v="0"/>
    <s v="Premium"/>
    <d v="2022-01-14T00:00:00"/>
    <x v="0"/>
    <s v="Apr-2024"/>
    <d v="2024-04-30T00:00:00"/>
    <n v="4"/>
    <x v="0"/>
    <s v="JJ"/>
  </r>
  <r>
    <s v="TRX0139"/>
    <x v="2"/>
    <s v="CUST021"/>
    <s v="Kevin Scott"/>
    <s v="P005"/>
    <s v="Blender"/>
    <x v="1"/>
    <x v="0"/>
    <n v="59.99"/>
    <x v="2"/>
    <x v="1"/>
    <s v="Standard"/>
    <d v="2023-12-02T00:00:00"/>
    <x v="1"/>
    <s v="Apr-2024"/>
    <d v="2024-04-30T00:00:00"/>
    <n v="2"/>
    <x v="0"/>
    <s v="KS"/>
  </r>
  <r>
    <s v="TRX0043"/>
    <x v="3"/>
    <s v="CUST046"/>
    <s v="Kathleen Bennett"/>
    <s v="P005"/>
    <s v="Blender"/>
    <x v="1"/>
    <x v="0"/>
    <n v="59.99"/>
    <x v="0"/>
    <x v="2"/>
    <s v="Premium"/>
    <d v="2023-07-07T00:00:00"/>
    <x v="1"/>
    <s v="Apr-2024"/>
    <d v="2024-04-30T00:00:00"/>
    <n v="3"/>
    <x v="0"/>
    <s v="KB"/>
  </r>
  <r>
    <s v="TRX0212"/>
    <x v="3"/>
    <s v="CUST003"/>
    <s v="Michael Brown"/>
    <s v="P008"/>
    <s v="Bookshelf"/>
    <x v="2"/>
    <x v="1"/>
    <n v="149.99"/>
    <x v="1"/>
    <x v="2"/>
    <s v="Premium"/>
    <d v="2024-01-04T00:00:00"/>
    <x v="2"/>
    <s v="Apr-2024"/>
    <d v="2024-04-30T00:00:00"/>
    <n v="2"/>
    <x v="0"/>
    <s v="MB"/>
  </r>
  <r>
    <s v="TRX0092"/>
    <x v="4"/>
    <s v="CUST024"/>
    <s v="Dorothy Nelson"/>
    <s v="P005"/>
    <s v="Blender"/>
    <x v="1"/>
    <x v="2"/>
    <n v="59.99"/>
    <x v="0"/>
    <x v="3"/>
    <s v="Standard"/>
    <d v="2022-07-04T00:00:00"/>
    <x v="3"/>
    <s v="Apr-2024"/>
    <d v="2024-04-30T00:00:00"/>
    <n v="4"/>
    <x v="0"/>
    <s v="DN"/>
  </r>
  <r>
    <s v="TRX0193"/>
    <x v="4"/>
    <s v="CUST024"/>
    <s v="Dorothy Nelson"/>
    <s v="P003"/>
    <s v="Headphones"/>
    <x v="0"/>
    <x v="1"/>
    <n v="149.99"/>
    <x v="1"/>
    <x v="0"/>
    <s v="Standard"/>
    <d v="2021-08-10T00:00:00"/>
    <x v="2"/>
    <s v="Apr-2024"/>
    <d v="2024-04-30T00:00:00"/>
    <n v="5"/>
    <x v="0"/>
    <s v="DN"/>
  </r>
  <r>
    <s v="TRX0240"/>
    <x v="4"/>
    <s v="CUST017"/>
    <s v="Charles Allen"/>
    <s v="P005"/>
    <s v="Blender"/>
    <x v="1"/>
    <x v="0"/>
    <n v="59.99"/>
    <x v="3"/>
    <x v="1"/>
    <s v="Basic"/>
    <d v="2023-03-22T00:00:00"/>
    <x v="1"/>
    <s v="Apr-2024"/>
    <d v="2024-04-30T00:00:00"/>
    <n v="3"/>
    <x v="0"/>
    <s v="CA"/>
  </r>
  <r>
    <s v="TRX0135"/>
    <x v="5"/>
    <s v="CUST009"/>
    <s v="Robert Thomas"/>
    <s v="P001"/>
    <s v="Laptop"/>
    <x v="0"/>
    <x v="0"/>
    <n v="899.99"/>
    <x v="2"/>
    <x v="4"/>
    <s v="Standard"/>
    <d v="2024-01-08T00:00:00"/>
    <x v="4"/>
    <s v="Apr-2024"/>
    <d v="2024-04-30T00:00:00"/>
    <n v="2"/>
    <x v="0"/>
    <s v="RT"/>
  </r>
  <r>
    <s v="TRX0185"/>
    <x v="6"/>
    <s v="CUST026"/>
    <s v="Karen Hill"/>
    <s v="P005"/>
    <s v="Blender"/>
    <x v="1"/>
    <x v="0"/>
    <n v="59.99"/>
    <x v="0"/>
    <x v="3"/>
    <s v="Premium"/>
    <d v="2023-10-08T00:00:00"/>
    <x v="1"/>
    <s v="Apr-2024"/>
    <d v="2024-04-30T00:00:00"/>
    <n v="2"/>
    <x v="0"/>
    <s v="KH"/>
  </r>
  <r>
    <s v="TRX0138"/>
    <x v="6"/>
    <s v="CUST022"/>
    <s v="Susan Green"/>
    <s v="P008"/>
    <s v="Bookshelf"/>
    <x v="2"/>
    <x v="3"/>
    <n v="149.99"/>
    <x v="1"/>
    <x v="3"/>
    <s v="Standard"/>
    <d v="2023-06-26T00:00:00"/>
    <x v="5"/>
    <s v="Apr-2024"/>
    <d v="2024-04-30T00:00:00"/>
    <n v="3"/>
    <x v="0"/>
    <s v="SG"/>
  </r>
  <r>
    <s v="TRX0209"/>
    <x v="6"/>
    <s v="CUST046"/>
    <s v="Kathleen Bennett"/>
    <s v="P008"/>
    <s v="Bookshelf"/>
    <x v="2"/>
    <x v="1"/>
    <n v="149.99"/>
    <x v="3"/>
    <x v="2"/>
    <s v="Basic"/>
    <d v="2022-09-26T00:00:00"/>
    <x v="2"/>
    <s v="Apr-2024"/>
    <d v="2024-04-30T00:00:00"/>
    <n v="3"/>
    <x v="0"/>
    <s v="KB"/>
  </r>
  <r>
    <s v="TRX0246"/>
    <x v="6"/>
    <s v="CUST041"/>
    <s v="Peter Richardson"/>
    <s v="P008"/>
    <s v="Bookshelf"/>
    <x v="2"/>
    <x v="0"/>
    <n v="149.99"/>
    <x v="0"/>
    <x v="2"/>
    <s v="Premium"/>
    <d v="2022-09-02T00:00:00"/>
    <x v="6"/>
    <s v="Apr-2024"/>
    <d v="2024-04-30T00:00:00"/>
    <n v="4"/>
    <x v="0"/>
    <s v="PR"/>
  </r>
  <r>
    <s v="TRX0067"/>
    <x v="7"/>
    <s v="CUST043"/>
    <s v="Dennis Gray"/>
    <s v="P005"/>
    <s v="Blender"/>
    <x v="1"/>
    <x v="0"/>
    <n v="59.99"/>
    <x v="1"/>
    <x v="2"/>
    <s v="Standard"/>
    <d v="2024-02-29T00:00:00"/>
    <x v="1"/>
    <s v="Apr-2024"/>
    <d v="2024-04-30T00:00:00"/>
    <n v="2"/>
    <x v="0"/>
    <s v="DG"/>
  </r>
  <r>
    <s v="TRX0191"/>
    <x v="7"/>
    <s v="CUST038"/>
    <s v="Michelle Rogers"/>
    <s v="P002"/>
    <s v="Smartphone"/>
    <x v="0"/>
    <x v="0"/>
    <n v="699.99"/>
    <x v="1"/>
    <x v="3"/>
    <s v="Basic"/>
    <d v="2022-01-16T00:00:00"/>
    <x v="7"/>
    <s v="Apr-2024"/>
    <d v="2024-04-30T00:00:00"/>
    <n v="4"/>
    <x v="0"/>
    <s v="MR"/>
  </r>
  <r>
    <s v="TRX0230"/>
    <x v="7"/>
    <s v="CUST027"/>
    <s v="George Adams"/>
    <s v="P001"/>
    <s v="Laptop"/>
    <x v="0"/>
    <x v="3"/>
    <n v="899.99"/>
    <x v="3"/>
    <x v="2"/>
    <s v="Standard"/>
    <d v="2022-12-25T00:00:00"/>
    <x v="8"/>
    <s v="Apr-2024"/>
    <d v="2024-04-30T00:00:00"/>
    <n v="3"/>
    <x v="0"/>
    <s v="GA"/>
  </r>
  <r>
    <s v="TRX0049"/>
    <x v="8"/>
    <s v="CUST025"/>
    <s v="Mark Carter"/>
    <s v="P008"/>
    <s v="Bookshelf"/>
    <x v="2"/>
    <x v="4"/>
    <n v="149.99"/>
    <x v="3"/>
    <x v="2"/>
    <s v="Premium"/>
    <d v="2024-03-23T00:00:00"/>
    <x v="9"/>
    <s v="Apr-2024"/>
    <d v="2024-04-30T00:00:00"/>
    <n v="2"/>
    <x v="0"/>
    <s v="MC"/>
  </r>
  <r>
    <s v="TRX0134"/>
    <x v="8"/>
    <s v="CUST010"/>
    <s v="Maria Garcia"/>
    <s v="P002"/>
    <s v="Smartphone"/>
    <x v="0"/>
    <x v="2"/>
    <n v="699.99"/>
    <x v="0"/>
    <x v="2"/>
    <s v="Basic"/>
    <d v="2022-08-08T00:00:00"/>
    <x v="10"/>
    <s v="Apr-2024"/>
    <d v="2024-04-30T00:00:00"/>
    <n v="4"/>
    <x v="0"/>
    <s v="MG"/>
  </r>
  <r>
    <s v="TRX0122"/>
    <x v="8"/>
    <s v="CUST025"/>
    <s v="Mark Carter"/>
    <s v="P001"/>
    <s v="Laptop"/>
    <x v="0"/>
    <x v="4"/>
    <n v="899.99"/>
    <x v="1"/>
    <x v="3"/>
    <s v="Standard"/>
    <d v="2024-02-05T00:00:00"/>
    <x v="11"/>
    <s v="Apr-2024"/>
    <d v="2024-04-30T00:00:00"/>
    <n v="2"/>
    <x v="0"/>
    <s v="MC"/>
  </r>
  <r>
    <s v="TRX0222"/>
    <x v="8"/>
    <s v="CUST048"/>
    <s v="Virginia Sanders"/>
    <s v="P009"/>
    <s v="Monitor"/>
    <x v="0"/>
    <x v="0"/>
    <n v="249.99"/>
    <x v="1"/>
    <x v="2"/>
    <s v="Premium"/>
    <d v="2023-10-25T00:00:00"/>
    <x v="0"/>
    <s v="Apr-2024"/>
    <d v="2024-04-30T00:00:00"/>
    <n v="2"/>
    <x v="0"/>
    <s v="VS"/>
  </r>
  <r>
    <s v="TRX0231"/>
    <x v="9"/>
    <s v="CUST018"/>
    <s v="Barbara Young"/>
    <s v="P002"/>
    <s v="Smartphone"/>
    <x v="0"/>
    <x v="1"/>
    <n v="699.99"/>
    <x v="0"/>
    <x v="3"/>
    <s v="Basic"/>
    <d v="2023-08-29T00:00:00"/>
    <x v="12"/>
    <s v="Apr-2024"/>
    <d v="2024-04-30T00:00:00"/>
    <n v="3"/>
    <x v="0"/>
    <s v="BY"/>
  </r>
  <r>
    <s v="TRX0239"/>
    <x v="10"/>
    <s v="CUST012"/>
    <s v="Patricia Moore"/>
    <s v="P002"/>
    <s v="Smartphone"/>
    <x v="0"/>
    <x v="4"/>
    <n v="699.99"/>
    <x v="0"/>
    <x v="4"/>
    <s v="Standard"/>
    <d v="2021-08-01T00:00:00"/>
    <x v="13"/>
    <s v="May-2024"/>
    <d v="2024-05-31T00:00:00"/>
    <n v="5"/>
    <x v="0"/>
    <s v="PM"/>
  </r>
  <r>
    <s v="TRX0204"/>
    <x v="11"/>
    <s v="CUST044"/>
    <s v="Cynthia Price"/>
    <s v="P009"/>
    <s v="Monitor"/>
    <x v="0"/>
    <x v="4"/>
    <n v="249.99"/>
    <x v="2"/>
    <x v="2"/>
    <s v="Standard"/>
    <d v="2021-09-29T00:00:00"/>
    <x v="14"/>
    <s v="May-2024"/>
    <d v="2024-05-31T00:00:00"/>
    <n v="4"/>
    <x v="0"/>
    <s v="CP"/>
  </r>
  <r>
    <s v="TRX0242"/>
    <x v="12"/>
    <s v="CUST025"/>
    <s v="Mark Carter"/>
    <s v="P007"/>
    <s v="Desk"/>
    <x v="2"/>
    <x v="4"/>
    <n v="299.99"/>
    <x v="0"/>
    <x v="3"/>
    <s v="Premium"/>
    <d v="2022-06-04T00:00:00"/>
    <x v="15"/>
    <s v="May-2024"/>
    <d v="2024-05-31T00:00:00"/>
    <n v="4"/>
    <x v="0"/>
    <s v="MC"/>
  </r>
  <r>
    <s v="TRX0071"/>
    <x v="13"/>
    <s v="CUST036"/>
    <s v="Nancy Collins"/>
    <s v="P009"/>
    <s v="Monitor"/>
    <x v="0"/>
    <x v="1"/>
    <n v="249.99"/>
    <x v="1"/>
    <x v="3"/>
    <s v="Standard"/>
    <d v="2021-11-25T00:00:00"/>
    <x v="16"/>
    <s v="May-2024"/>
    <d v="2024-05-31T00:00:00"/>
    <n v="4"/>
    <x v="0"/>
    <s v="NC"/>
  </r>
  <r>
    <s v="TRX0040"/>
    <x v="14"/>
    <s v="CUST022"/>
    <s v="Susan Green"/>
    <s v="P007"/>
    <s v="Desk"/>
    <x v="2"/>
    <x v="1"/>
    <n v="299.99"/>
    <x v="2"/>
    <x v="4"/>
    <s v="Basic"/>
    <d v="2023-08-30T00:00:00"/>
    <x v="17"/>
    <s v="May-2024"/>
    <d v="2024-05-31T00:00:00"/>
    <n v="3"/>
    <x v="0"/>
    <s v="SG"/>
  </r>
  <r>
    <s v="TRX0235"/>
    <x v="14"/>
    <s v="CUST014"/>
    <s v="Linda Martin"/>
    <s v="P004"/>
    <s v="Coffee Maker"/>
    <x v="1"/>
    <x v="0"/>
    <n v="79.989999999999995"/>
    <x v="2"/>
    <x v="4"/>
    <s v="Premium"/>
    <d v="2023-03-27T00:00:00"/>
    <x v="18"/>
    <s v="May-2024"/>
    <d v="2024-05-31T00:00:00"/>
    <n v="3"/>
    <x v="0"/>
    <s v="LM"/>
  </r>
  <r>
    <s v="TRX0004"/>
    <x v="14"/>
    <s v="CUST012"/>
    <s v="Patricia Moore"/>
    <s v="P010"/>
    <s v="Keyboard"/>
    <x v="0"/>
    <x v="1"/>
    <n v="89.99"/>
    <x v="0"/>
    <x v="2"/>
    <s v="Premium"/>
    <d v="2022-12-24T00:00:00"/>
    <x v="19"/>
    <s v="May-2024"/>
    <d v="2024-05-31T00:00:00"/>
    <n v="3"/>
    <x v="0"/>
    <s v="PM"/>
  </r>
  <r>
    <s v="TRX0063"/>
    <x v="15"/>
    <s v="CUST030"/>
    <s v="Helen Roberts"/>
    <s v="P005"/>
    <s v="Blender"/>
    <x v="1"/>
    <x v="2"/>
    <n v="59.99"/>
    <x v="3"/>
    <x v="0"/>
    <s v="Standard"/>
    <d v="2023-10-15T00:00:00"/>
    <x v="3"/>
    <s v="May-2024"/>
    <d v="2024-05-31T00:00:00"/>
    <n v="2"/>
    <x v="0"/>
    <s v="HR"/>
  </r>
  <r>
    <s v="TRX0241"/>
    <x v="16"/>
    <s v="CUST029"/>
    <s v="Edward Mitchell"/>
    <s v="P005"/>
    <s v="Blender"/>
    <x v="1"/>
    <x v="4"/>
    <n v="59.99"/>
    <x v="3"/>
    <x v="4"/>
    <s v="Standard"/>
    <d v="2022-11-02T00:00:00"/>
    <x v="20"/>
    <s v="May-2024"/>
    <d v="2024-05-31T00:00:00"/>
    <n v="3"/>
    <x v="0"/>
    <s v="EM"/>
  </r>
  <r>
    <s v="TRX0029"/>
    <x v="16"/>
    <s v="CUST017"/>
    <s v="Charles Allen"/>
    <s v="P006"/>
    <s v="Office Chair"/>
    <x v="2"/>
    <x v="1"/>
    <n v="199.99"/>
    <x v="0"/>
    <x v="1"/>
    <s v="Standard"/>
    <d v="2021-08-04T00:00:00"/>
    <x v="21"/>
    <s v="May-2024"/>
    <d v="2024-05-31T00:00:00"/>
    <n v="5"/>
    <x v="0"/>
    <s v="CA"/>
  </r>
  <r>
    <s v="TRX0194"/>
    <x v="17"/>
    <s v="CUST006"/>
    <s v="Lisa Anderson"/>
    <s v="P008"/>
    <s v="Bookshelf"/>
    <x v="2"/>
    <x v="2"/>
    <n v="149.99"/>
    <x v="1"/>
    <x v="3"/>
    <s v="Basic"/>
    <d v="2022-09-19T00:00:00"/>
    <x v="22"/>
    <s v="May-2024"/>
    <d v="2024-05-31T00:00:00"/>
    <n v="3"/>
    <x v="0"/>
    <s v="LA"/>
  </r>
  <r>
    <s v="TRX0130"/>
    <x v="18"/>
    <s v="CUST002"/>
    <s v="Emma Wilson"/>
    <s v="P008"/>
    <s v="Bookshelf"/>
    <x v="2"/>
    <x v="0"/>
    <n v="149.99"/>
    <x v="1"/>
    <x v="3"/>
    <s v="Premium"/>
    <d v="2023-05-22T00:00:00"/>
    <x v="6"/>
    <s v="May-2024"/>
    <d v="2024-05-31T00:00:00"/>
    <n v="3"/>
    <x v="0"/>
    <s v="EW"/>
  </r>
  <r>
    <s v="TRX0041"/>
    <x v="19"/>
    <s v="CUST021"/>
    <s v="Kevin Scott"/>
    <s v="P001"/>
    <s v="Laptop"/>
    <x v="0"/>
    <x v="3"/>
    <n v="899.99"/>
    <x v="1"/>
    <x v="3"/>
    <s v="Premium"/>
    <d v="2022-01-17T00:00:00"/>
    <x v="8"/>
    <s v="May-2024"/>
    <d v="2024-05-31T00:00:00"/>
    <n v="4"/>
    <x v="0"/>
    <s v="KS"/>
  </r>
  <r>
    <s v="TRX0232"/>
    <x v="20"/>
    <s v="CUST012"/>
    <s v="Patricia Moore"/>
    <s v="P007"/>
    <s v="Desk"/>
    <x v="2"/>
    <x v="0"/>
    <n v="299.99"/>
    <x v="1"/>
    <x v="4"/>
    <s v="Basic"/>
    <d v="2022-09-20T00:00:00"/>
    <x v="23"/>
    <s v="May-2024"/>
    <d v="2024-05-31T00:00:00"/>
    <n v="3"/>
    <x v="0"/>
    <s v="PM"/>
  </r>
  <r>
    <s v="TRX0021"/>
    <x v="21"/>
    <s v="CUST006"/>
    <s v="Lisa Anderson"/>
    <s v="P004"/>
    <s v="Coffee Maker"/>
    <x v="1"/>
    <x v="0"/>
    <n v="79.989999999999995"/>
    <x v="0"/>
    <x v="1"/>
    <s v="Basic"/>
    <d v="2023-04-30T00:00:00"/>
    <x v="18"/>
    <s v="May-2024"/>
    <d v="2024-05-31T00:00:00"/>
    <n v="3"/>
    <x v="0"/>
    <s v="LA"/>
  </r>
  <r>
    <s v="TRX0245"/>
    <x v="22"/>
    <s v="CUST031"/>
    <s v="Steven Turner"/>
    <s v="P006"/>
    <s v="Office Chair"/>
    <x v="2"/>
    <x v="0"/>
    <n v="199.99"/>
    <x v="1"/>
    <x v="2"/>
    <s v="Premium"/>
    <d v="2024-01-01T00:00:00"/>
    <x v="24"/>
    <s v="May-2024"/>
    <d v="2024-05-31T00:00:00"/>
    <n v="2"/>
    <x v="0"/>
    <s v="ST"/>
  </r>
  <r>
    <s v="TRX0015"/>
    <x v="23"/>
    <s v="CUST008"/>
    <s v="Jennifer Taylor"/>
    <s v="P002"/>
    <s v="Smartphone"/>
    <x v="0"/>
    <x v="1"/>
    <n v="699.99"/>
    <x v="2"/>
    <x v="3"/>
    <s v="Standard"/>
    <d v="2021-07-30T00:00:00"/>
    <x v="12"/>
    <s v="May-2024"/>
    <d v="2024-05-31T00:00:00"/>
    <n v="5"/>
    <x v="0"/>
    <s v="JT"/>
  </r>
  <r>
    <s v="TRX0202"/>
    <x v="24"/>
    <s v="CUST035"/>
    <s v="Harry Morgan"/>
    <s v="P010"/>
    <s v="Keyboard"/>
    <x v="0"/>
    <x v="0"/>
    <n v="89.99"/>
    <x v="2"/>
    <x v="0"/>
    <s v="Premium"/>
    <d v="2023-07-13T00:00:00"/>
    <x v="25"/>
    <s v="May-2024"/>
    <d v="2024-05-31T00:00:00"/>
    <n v="3"/>
    <x v="0"/>
    <s v="HM"/>
  </r>
  <r>
    <s v="TRX0042"/>
    <x v="25"/>
    <s v="CUST019"/>
    <s v="Daniel King"/>
    <s v="P004"/>
    <s v="Coffee Maker"/>
    <x v="1"/>
    <x v="3"/>
    <n v="79.989999999999995"/>
    <x v="0"/>
    <x v="2"/>
    <s v="Standard"/>
    <d v="2022-12-22T00:00:00"/>
    <x v="26"/>
    <s v="May-2024"/>
    <d v="2024-05-31T00:00:00"/>
    <n v="3"/>
    <x v="0"/>
    <s v="DK"/>
  </r>
  <r>
    <s v="TRX0128"/>
    <x v="26"/>
    <s v="CUST040"/>
    <s v="Sharon Butler"/>
    <s v="P005"/>
    <s v="Blender"/>
    <x v="1"/>
    <x v="2"/>
    <n v="59.99"/>
    <x v="0"/>
    <x v="3"/>
    <s v="Basic"/>
    <d v="2024-04-08T00:00:00"/>
    <x v="3"/>
    <s v="Jun-2024"/>
    <d v="2024-06-30T00:00:00"/>
    <n v="2"/>
    <x v="0"/>
    <s v="SB"/>
  </r>
  <r>
    <s v="TRX0117"/>
    <x v="26"/>
    <s v="CUST017"/>
    <s v="Charles Allen"/>
    <s v="P010"/>
    <s v="Keyboard"/>
    <x v="0"/>
    <x v="3"/>
    <n v="89.99"/>
    <x v="0"/>
    <x v="2"/>
    <s v="Basic"/>
    <d v="2023-08-03T00:00:00"/>
    <x v="27"/>
    <s v="Jun-2024"/>
    <d v="2024-06-30T00:00:00"/>
    <n v="3"/>
    <x v="0"/>
    <s v="CA"/>
  </r>
  <r>
    <s v="TRX0208"/>
    <x v="27"/>
    <s v="CUST004"/>
    <s v="Sarah Davis"/>
    <s v="P010"/>
    <s v="Keyboard"/>
    <x v="0"/>
    <x v="1"/>
    <n v="89.99"/>
    <x v="1"/>
    <x v="4"/>
    <s v="Standard"/>
    <d v="2022-01-26T00:00:00"/>
    <x v="19"/>
    <s v="Jun-2024"/>
    <d v="2024-06-30T00:00:00"/>
    <n v="4"/>
    <x v="0"/>
    <s v="SD"/>
  </r>
  <r>
    <s v="TRX0234"/>
    <x v="28"/>
    <s v="CUST013"/>
    <s v="Joseph Jackson"/>
    <s v="P009"/>
    <s v="Monitor"/>
    <x v="0"/>
    <x v="1"/>
    <n v="249.99"/>
    <x v="1"/>
    <x v="4"/>
    <s v="Standard"/>
    <d v="2022-05-26T00:00:00"/>
    <x v="16"/>
    <s v="Jun-2024"/>
    <d v="2024-06-30T00:00:00"/>
    <n v="4"/>
    <x v="0"/>
    <s v="JJ"/>
  </r>
  <r>
    <s v="TRX0121"/>
    <x v="28"/>
    <s v="CUST028"/>
    <s v="Betty Campbell"/>
    <s v="P010"/>
    <s v="Keyboard"/>
    <x v="0"/>
    <x v="3"/>
    <n v="89.99"/>
    <x v="1"/>
    <x v="1"/>
    <s v="Standard"/>
    <d v="2022-01-21T00:00:00"/>
    <x v="27"/>
    <s v="Jun-2024"/>
    <d v="2024-06-30T00:00:00"/>
    <n v="4"/>
    <x v="0"/>
    <s v="BC"/>
  </r>
  <r>
    <s v="TRX0220"/>
    <x v="29"/>
    <s v="CUST003"/>
    <s v="Michael Brown"/>
    <s v="P008"/>
    <s v="Bookshelf"/>
    <x v="2"/>
    <x v="2"/>
    <n v="149.99"/>
    <x v="0"/>
    <x v="4"/>
    <s v="Premium"/>
    <d v="2022-03-25T00:00:00"/>
    <x v="22"/>
    <s v="Jun-2024"/>
    <d v="2024-06-30T00:00:00"/>
    <n v="4"/>
    <x v="0"/>
    <s v="MB"/>
  </r>
  <r>
    <s v="TRX0093"/>
    <x v="30"/>
    <s v="CUST050"/>
    <s v="Julie Foster"/>
    <s v="P005"/>
    <s v="Blender"/>
    <x v="1"/>
    <x v="4"/>
    <n v="59.99"/>
    <x v="0"/>
    <x v="4"/>
    <s v="Standard"/>
    <d v="2021-08-27T00:00:00"/>
    <x v="20"/>
    <s v="Jun-2024"/>
    <d v="2024-06-30T00:00:00"/>
    <n v="5"/>
    <x v="0"/>
    <s v="JF"/>
  </r>
  <r>
    <s v="TRX0088"/>
    <x v="31"/>
    <s v="CUST006"/>
    <s v="Lisa Anderson"/>
    <s v="P010"/>
    <s v="Keyboard"/>
    <x v="0"/>
    <x v="1"/>
    <n v="89.99"/>
    <x v="0"/>
    <x v="0"/>
    <s v="Premium"/>
    <d v="2022-01-18T00:00:00"/>
    <x v="19"/>
    <s v="Jun-2024"/>
    <d v="2024-06-30T00:00:00"/>
    <n v="4"/>
    <x v="0"/>
    <s v="LA"/>
  </r>
  <r>
    <s v="TRX0115"/>
    <x v="32"/>
    <s v="CUST012"/>
    <s v="Patricia Moore"/>
    <s v="P010"/>
    <s v="Keyboard"/>
    <x v="0"/>
    <x v="2"/>
    <n v="89.99"/>
    <x v="1"/>
    <x v="1"/>
    <s v="Premium"/>
    <d v="2021-10-02T00:00:00"/>
    <x v="28"/>
    <s v="Jun-2024"/>
    <d v="2024-06-30T00:00:00"/>
    <n v="4"/>
    <x v="0"/>
    <s v="PM"/>
  </r>
  <r>
    <s v="TRX0154"/>
    <x v="32"/>
    <s v="CUST023"/>
    <s v="Paul Baker"/>
    <s v="P001"/>
    <s v="Laptop"/>
    <x v="0"/>
    <x v="1"/>
    <n v="899.99"/>
    <x v="1"/>
    <x v="1"/>
    <s v="Standard"/>
    <d v="2023-02-17T00:00:00"/>
    <x v="29"/>
    <s v="Jun-2024"/>
    <d v="2024-06-30T00:00:00"/>
    <n v="3"/>
    <x v="0"/>
    <s v="PB"/>
  </r>
  <r>
    <s v="TRX0044"/>
    <x v="32"/>
    <s v="CUST029"/>
    <s v="Edward Mitchell"/>
    <s v="P001"/>
    <s v="Laptop"/>
    <x v="0"/>
    <x v="1"/>
    <n v="899.99"/>
    <x v="2"/>
    <x v="4"/>
    <s v="Premium"/>
    <d v="2023-12-18T00:00:00"/>
    <x v="29"/>
    <s v="Jun-2024"/>
    <d v="2024-06-30T00:00:00"/>
    <n v="2"/>
    <x v="0"/>
    <s v="EM"/>
  </r>
  <r>
    <s v="TRX0061"/>
    <x v="33"/>
    <s v="CUST028"/>
    <s v="Betty Campbell"/>
    <s v="P005"/>
    <s v="Blender"/>
    <x v="1"/>
    <x v="3"/>
    <n v="59.99"/>
    <x v="3"/>
    <x v="3"/>
    <s v="Premium"/>
    <d v="2023-09-21T00:00:00"/>
    <x v="30"/>
    <s v="Jun-2024"/>
    <d v="2024-06-30T00:00:00"/>
    <n v="2"/>
    <x v="0"/>
    <s v="BC"/>
  </r>
  <r>
    <s v="TRX0150"/>
    <x v="33"/>
    <s v="CUST008"/>
    <s v="Jennifer Taylor"/>
    <s v="P007"/>
    <s v="Desk"/>
    <x v="2"/>
    <x v="2"/>
    <n v="299.99"/>
    <x v="3"/>
    <x v="4"/>
    <s v="Standard"/>
    <d v="2023-11-23T00:00:00"/>
    <x v="31"/>
    <s v="Jun-2024"/>
    <d v="2024-06-30T00:00:00"/>
    <n v="2"/>
    <x v="0"/>
    <s v="JT"/>
  </r>
  <r>
    <s v="TRX0025"/>
    <x v="34"/>
    <s v="CUST049"/>
    <s v="Raymond Ross"/>
    <s v="P010"/>
    <s v="Keyboard"/>
    <x v="0"/>
    <x v="4"/>
    <n v="89.99"/>
    <x v="3"/>
    <x v="1"/>
    <s v="Basic"/>
    <d v="2023-12-21T00:00:00"/>
    <x v="32"/>
    <s v="Jun-2024"/>
    <d v="2024-06-30T00:00:00"/>
    <n v="2"/>
    <x v="0"/>
    <s v="RR"/>
  </r>
  <r>
    <s v="TRX0078"/>
    <x v="35"/>
    <s v="CUST021"/>
    <s v="Kevin Scott"/>
    <s v="P004"/>
    <s v="Coffee Maker"/>
    <x v="1"/>
    <x v="3"/>
    <n v="79.989999999999995"/>
    <x v="2"/>
    <x v="0"/>
    <s v="Premium"/>
    <d v="2024-03-01T00:00:00"/>
    <x v="26"/>
    <s v="Jun-2024"/>
    <d v="2024-06-30T00:00:00"/>
    <n v="2"/>
    <x v="0"/>
    <s v="KS"/>
  </r>
  <r>
    <s v="TRX0007"/>
    <x v="35"/>
    <s v="CUST009"/>
    <s v="Robert Thomas"/>
    <s v="P010"/>
    <s v="Keyboard"/>
    <x v="0"/>
    <x v="2"/>
    <n v="89.99"/>
    <x v="0"/>
    <x v="3"/>
    <s v="Basic"/>
    <d v="2021-08-30T00:00:00"/>
    <x v="28"/>
    <s v="Jun-2024"/>
    <d v="2024-06-30T00:00:00"/>
    <n v="5"/>
    <x v="0"/>
    <s v="RT"/>
  </r>
  <r>
    <s v="TRX0184"/>
    <x v="36"/>
    <s v="CUST046"/>
    <s v="Kathleen Bennett"/>
    <s v="P002"/>
    <s v="Smartphone"/>
    <x v="0"/>
    <x v="0"/>
    <n v="699.99"/>
    <x v="1"/>
    <x v="4"/>
    <s v="Premium"/>
    <d v="2023-06-25T00:00:00"/>
    <x v="7"/>
    <s v="Jun-2024"/>
    <d v="2024-06-30T00:00:00"/>
    <n v="3"/>
    <x v="0"/>
    <s v="KB"/>
  </r>
  <r>
    <s v="TRX0104"/>
    <x v="36"/>
    <s v="CUST012"/>
    <s v="Patricia Moore"/>
    <s v="P001"/>
    <s v="Laptop"/>
    <x v="0"/>
    <x v="4"/>
    <n v="899.99"/>
    <x v="1"/>
    <x v="4"/>
    <s v="Premium"/>
    <d v="2023-03-08T00:00:00"/>
    <x v="11"/>
    <s v="Jun-2024"/>
    <d v="2024-06-30T00:00:00"/>
    <n v="3"/>
    <x v="0"/>
    <s v="PM"/>
  </r>
  <r>
    <s v="TRX0127"/>
    <x v="37"/>
    <s v="CUST030"/>
    <s v="Helen Roberts"/>
    <s v="P008"/>
    <s v="Bookshelf"/>
    <x v="2"/>
    <x v="3"/>
    <n v="149.99"/>
    <x v="2"/>
    <x v="4"/>
    <s v="Basic"/>
    <d v="2022-10-17T00:00:00"/>
    <x v="5"/>
    <s v="Jun-2024"/>
    <d v="2024-06-30T00:00:00"/>
    <n v="3"/>
    <x v="0"/>
    <s v="HR"/>
  </r>
  <r>
    <s v="TRX0096"/>
    <x v="38"/>
    <s v="CUST002"/>
    <s v="Emma Wilson"/>
    <s v="P010"/>
    <s v="Keyboard"/>
    <x v="0"/>
    <x v="2"/>
    <n v="89.99"/>
    <x v="2"/>
    <x v="0"/>
    <s v="Premium"/>
    <d v="2023-12-15T00:00:00"/>
    <x v="28"/>
    <s v="Jul-2024"/>
    <d v="2024-07-31T00:00:00"/>
    <n v="2"/>
    <x v="0"/>
    <s v="EW"/>
  </r>
  <r>
    <s v="TRX0192"/>
    <x v="39"/>
    <s v="CUST017"/>
    <s v="Charles Allen"/>
    <s v="P010"/>
    <s v="Keyboard"/>
    <x v="0"/>
    <x v="3"/>
    <n v="89.99"/>
    <x v="2"/>
    <x v="3"/>
    <s v="Standard"/>
    <d v="2022-08-29T00:00:00"/>
    <x v="27"/>
    <s v="Jul-2024"/>
    <d v="2024-07-31T00:00:00"/>
    <n v="4"/>
    <x v="0"/>
    <s v="CA"/>
  </r>
  <r>
    <s v="TRX0052"/>
    <x v="40"/>
    <s v="CUST022"/>
    <s v="Susan Green"/>
    <s v="P010"/>
    <s v="Keyboard"/>
    <x v="0"/>
    <x v="3"/>
    <n v="89.99"/>
    <x v="0"/>
    <x v="1"/>
    <s v="Standard"/>
    <d v="2022-02-19T00:00:00"/>
    <x v="27"/>
    <s v="Jul-2024"/>
    <d v="2024-07-31T00:00:00"/>
    <n v="4"/>
    <x v="0"/>
    <s v="SG"/>
  </r>
  <r>
    <s v="TRX0070"/>
    <x v="40"/>
    <s v="CUST007"/>
    <s v="David Martinez"/>
    <s v="P004"/>
    <s v="Coffee Maker"/>
    <x v="1"/>
    <x v="1"/>
    <n v="79.989999999999995"/>
    <x v="3"/>
    <x v="0"/>
    <s v="Basic"/>
    <d v="2023-02-24T00:00:00"/>
    <x v="33"/>
    <s v="Jul-2024"/>
    <d v="2024-07-31T00:00:00"/>
    <n v="3"/>
    <x v="0"/>
    <s v="DM"/>
  </r>
  <r>
    <s v="TRX0086"/>
    <x v="41"/>
    <s v="CUST020"/>
    <s v="Margaret Wright"/>
    <s v="P008"/>
    <s v="Bookshelf"/>
    <x v="2"/>
    <x v="3"/>
    <n v="149.99"/>
    <x v="2"/>
    <x v="2"/>
    <s v="Basic"/>
    <d v="2021-08-13T00:00:00"/>
    <x v="5"/>
    <s v="Jul-2024"/>
    <d v="2024-07-31T00:00:00"/>
    <n v="5"/>
    <x v="0"/>
    <s v="MW"/>
  </r>
  <r>
    <s v="TRX0113"/>
    <x v="41"/>
    <s v="CUST003"/>
    <s v="Michael Brown"/>
    <s v="P002"/>
    <s v="Smartphone"/>
    <x v="0"/>
    <x v="2"/>
    <n v="699.99"/>
    <x v="2"/>
    <x v="4"/>
    <s v="Premium"/>
    <d v="2024-04-07T00:00:00"/>
    <x v="10"/>
    <s v="Jul-2024"/>
    <d v="2024-07-31T00:00:00"/>
    <n v="2"/>
    <x v="0"/>
    <s v="MB"/>
  </r>
  <r>
    <s v="TRX0114"/>
    <x v="41"/>
    <s v="CUST018"/>
    <s v="Barbara Young"/>
    <s v="P010"/>
    <s v="Keyboard"/>
    <x v="0"/>
    <x v="1"/>
    <n v="89.99"/>
    <x v="3"/>
    <x v="2"/>
    <s v="Premium"/>
    <d v="2023-08-23T00:00:00"/>
    <x v="19"/>
    <s v="Jul-2024"/>
    <d v="2024-07-31T00:00:00"/>
    <n v="3"/>
    <x v="0"/>
    <s v="BY"/>
  </r>
  <r>
    <s v="TRX0136"/>
    <x v="42"/>
    <s v="CUST049"/>
    <s v="Raymond Ross"/>
    <s v="P005"/>
    <s v="Blender"/>
    <x v="1"/>
    <x v="4"/>
    <n v="59.99"/>
    <x v="0"/>
    <x v="1"/>
    <s v="Standard"/>
    <d v="2021-11-09T00:00:00"/>
    <x v="20"/>
    <s v="Jul-2024"/>
    <d v="2024-07-31T00:00:00"/>
    <n v="4"/>
    <x v="0"/>
    <s v="RR"/>
  </r>
  <r>
    <s v="TRX0018"/>
    <x v="43"/>
    <s v="CUST013"/>
    <s v="Joseph Jackson"/>
    <s v="P003"/>
    <s v="Headphones"/>
    <x v="0"/>
    <x v="3"/>
    <n v="149.99"/>
    <x v="0"/>
    <x v="0"/>
    <s v="Standard"/>
    <d v="2022-12-14T00:00:00"/>
    <x v="5"/>
    <s v="Jul-2024"/>
    <d v="2024-07-31T00:00:00"/>
    <n v="3"/>
    <x v="0"/>
    <s v="JJ"/>
  </r>
  <r>
    <s v="TRX0141"/>
    <x v="43"/>
    <s v="CUST033"/>
    <s v="Frank Torres"/>
    <s v="P007"/>
    <s v="Desk"/>
    <x v="2"/>
    <x v="3"/>
    <n v="299.99"/>
    <x v="1"/>
    <x v="2"/>
    <s v="Premium"/>
    <d v="2022-11-26T00:00:00"/>
    <x v="34"/>
    <s v="Jul-2024"/>
    <d v="2024-07-31T00:00:00"/>
    <n v="3"/>
    <x v="0"/>
    <s v="FT"/>
  </r>
  <r>
    <s v="TRX0097"/>
    <x v="44"/>
    <s v="CUST033"/>
    <s v="Frank Torres"/>
    <s v="P006"/>
    <s v="Office Chair"/>
    <x v="2"/>
    <x v="2"/>
    <n v="199.99"/>
    <x v="0"/>
    <x v="2"/>
    <s v="Basic"/>
    <d v="2021-12-11T00:00:00"/>
    <x v="35"/>
    <s v="Jul-2024"/>
    <d v="2024-07-31T00:00:00"/>
    <n v="4"/>
    <x v="0"/>
    <s v="FT"/>
  </r>
  <r>
    <s v="TRX0169"/>
    <x v="45"/>
    <s v="CUST047"/>
    <s v="Gerald Murphy"/>
    <s v="P005"/>
    <s v="Blender"/>
    <x v="1"/>
    <x v="0"/>
    <n v="59.99"/>
    <x v="1"/>
    <x v="3"/>
    <s v="Basic"/>
    <d v="2023-07-23T00:00:00"/>
    <x v="1"/>
    <s v="Jul-2024"/>
    <d v="2024-07-31T00:00:00"/>
    <n v="3"/>
    <x v="0"/>
    <s v="GM"/>
  </r>
  <r>
    <s v="TRX0216"/>
    <x v="45"/>
    <s v="CUST041"/>
    <s v="Peter Richardson"/>
    <s v="P008"/>
    <s v="Bookshelf"/>
    <x v="2"/>
    <x v="0"/>
    <n v="149.99"/>
    <x v="0"/>
    <x v="0"/>
    <s v="Premium"/>
    <d v="2023-09-30T00:00:00"/>
    <x v="6"/>
    <s v="Jul-2024"/>
    <d v="2024-07-31T00:00:00"/>
    <n v="2"/>
    <x v="0"/>
    <s v="PR"/>
  </r>
  <r>
    <s v="TRX0131"/>
    <x v="46"/>
    <s v="CUST026"/>
    <s v="Karen Hill"/>
    <s v="P006"/>
    <s v="Office Chair"/>
    <x v="2"/>
    <x v="0"/>
    <n v="199.99"/>
    <x v="0"/>
    <x v="2"/>
    <s v="Premium"/>
    <d v="2023-11-24T00:00:00"/>
    <x v="24"/>
    <s v="Jul-2024"/>
    <d v="2024-07-31T00:00:00"/>
    <n v="2"/>
    <x v="0"/>
    <s v="KH"/>
  </r>
  <r>
    <s v="TRX0162"/>
    <x v="47"/>
    <s v="CUST040"/>
    <s v="Sharon Butler"/>
    <s v="P001"/>
    <s v="Laptop"/>
    <x v="0"/>
    <x v="3"/>
    <n v="899.99"/>
    <x v="0"/>
    <x v="0"/>
    <s v="Standard"/>
    <d v="2023-09-10T00:00:00"/>
    <x v="8"/>
    <s v="Jul-2024"/>
    <d v="2024-07-31T00:00:00"/>
    <n v="3"/>
    <x v="0"/>
    <s v="SB"/>
  </r>
  <r>
    <s v="TRX0244"/>
    <x v="48"/>
    <s v="CUST013"/>
    <s v="Joseph Jackson"/>
    <s v="P001"/>
    <s v="Laptop"/>
    <x v="0"/>
    <x v="1"/>
    <n v="899.99"/>
    <x v="3"/>
    <x v="1"/>
    <s v="Standard"/>
    <d v="2022-12-04T00:00:00"/>
    <x v="29"/>
    <s v="Jul-2024"/>
    <d v="2024-07-31T00:00:00"/>
    <n v="3"/>
    <x v="0"/>
    <s v="JJ"/>
  </r>
  <r>
    <s v="TRX0006"/>
    <x v="49"/>
    <s v="CUST007"/>
    <s v="David Martinez"/>
    <s v="P005"/>
    <s v="Blender"/>
    <x v="1"/>
    <x v="2"/>
    <n v="59.99"/>
    <x v="0"/>
    <x v="2"/>
    <s v="Standard"/>
    <d v="2023-08-14T00:00:00"/>
    <x v="3"/>
    <s v="Jul-2024"/>
    <d v="2024-07-31T00:00:00"/>
    <n v="3"/>
    <x v="0"/>
    <s v="DM"/>
  </r>
  <r>
    <s v="TRX0215"/>
    <x v="49"/>
    <s v="CUST047"/>
    <s v="Gerald Murphy"/>
    <s v="P009"/>
    <s v="Monitor"/>
    <x v="0"/>
    <x v="4"/>
    <n v="249.99"/>
    <x v="3"/>
    <x v="0"/>
    <s v="Standard"/>
    <d v="2023-07-20T00:00:00"/>
    <x v="14"/>
    <s v="Jul-2024"/>
    <d v="2024-07-31T00:00:00"/>
    <n v="3"/>
    <x v="0"/>
    <s v="GM"/>
  </r>
  <r>
    <s v="TRX0080"/>
    <x v="50"/>
    <s v="CUST018"/>
    <s v="Barbara Young"/>
    <s v="P009"/>
    <s v="Monitor"/>
    <x v="0"/>
    <x v="2"/>
    <n v="249.99"/>
    <x v="0"/>
    <x v="2"/>
    <s v="Premium"/>
    <d v="2023-08-26T00:00:00"/>
    <x v="36"/>
    <s v="Jul-2024"/>
    <d v="2024-07-31T00:00:00"/>
    <n v="3"/>
    <x v="0"/>
    <s v="BY"/>
  </r>
  <r>
    <s v="TRX0228"/>
    <x v="50"/>
    <s v="CUST019"/>
    <s v="Daniel King"/>
    <s v="P007"/>
    <s v="Desk"/>
    <x v="2"/>
    <x v="3"/>
    <n v="299.99"/>
    <x v="0"/>
    <x v="1"/>
    <s v="Basic"/>
    <d v="2023-02-25T00:00:00"/>
    <x v="34"/>
    <s v="Jul-2024"/>
    <d v="2024-07-31T00:00:00"/>
    <n v="3"/>
    <x v="0"/>
    <s v="DK"/>
  </r>
  <r>
    <s v="TRX0157"/>
    <x v="51"/>
    <s v="CUST025"/>
    <s v="Mark Carter"/>
    <s v="P010"/>
    <s v="Keyboard"/>
    <x v="0"/>
    <x v="2"/>
    <n v="89.99"/>
    <x v="2"/>
    <x v="1"/>
    <s v="Basic"/>
    <d v="2023-02-19T00:00:00"/>
    <x v="28"/>
    <s v="Jul-2024"/>
    <d v="2024-07-31T00:00:00"/>
    <n v="3"/>
    <x v="0"/>
    <s v="MC"/>
  </r>
  <r>
    <s v="TRX0002"/>
    <x v="51"/>
    <s v="CUST019"/>
    <s v="Daniel King"/>
    <s v="P007"/>
    <s v="Desk"/>
    <x v="2"/>
    <x v="0"/>
    <n v="299.99"/>
    <x v="0"/>
    <x v="0"/>
    <s v="Basic"/>
    <d v="2022-06-20T00:00:00"/>
    <x v="23"/>
    <s v="Jul-2024"/>
    <d v="2024-07-31T00:00:00"/>
    <n v="4"/>
    <x v="0"/>
    <s v="DK"/>
  </r>
  <r>
    <s v="TRX0217"/>
    <x v="52"/>
    <s v="CUST025"/>
    <s v="Mark Carter"/>
    <s v="P002"/>
    <s v="Smartphone"/>
    <x v="0"/>
    <x v="2"/>
    <n v="699.99"/>
    <x v="1"/>
    <x v="2"/>
    <s v="Premium"/>
    <d v="2023-03-14T00:00:00"/>
    <x v="10"/>
    <s v="Jul-2024"/>
    <d v="2024-07-31T00:00:00"/>
    <n v="3"/>
    <x v="0"/>
    <s v="MC"/>
  </r>
  <r>
    <s v="TRX0249"/>
    <x v="53"/>
    <s v="CUST030"/>
    <s v="Helen Roberts"/>
    <s v="P001"/>
    <s v="Laptop"/>
    <x v="0"/>
    <x v="4"/>
    <n v="899.99"/>
    <x v="3"/>
    <x v="1"/>
    <s v="Standard"/>
    <d v="2021-11-23T00:00:00"/>
    <x v="11"/>
    <s v="Jul-2024"/>
    <d v="2024-07-31T00:00:00"/>
    <n v="4"/>
    <x v="0"/>
    <s v="HR"/>
  </r>
  <r>
    <s v="TRX0065"/>
    <x v="54"/>
    <s v="CUST016"/>
    <s v="Elizabeth Hall"/>
    <s v="P008"/>
    <s v="Bookshelf"/>
    <x v="2"/>
    <x v="2"/>
    <n v="149.99"/>
    <x v="1"/>
    <x v="3"/>
    <s v="Basic"/>
    <d v="2021-12-12T00:00:00"/>
    <x v="22"/>
    <s v="Aug-2024"/>
    <d v="2024-08-31T00:00:00"/>
    <n v="4"/>
    <x v="0"/>
    <s v="EH"/>
  </r>
  <r>
    <s v="TRX0176"/>
    <x v="55"/>
    <s v="CUST044"/>
    <s v="Cynthia Price"/>
    <s v="P008"/>
    <s v="Bookshelf"/>
    <x v="2"/>
    <x v="2"/>
    <n v="149.99"/>
    <x v="3"/>
    <x v="4"/>
    <s v="Standard"/>
    <d v="2022-04-16T00:00:00"/>
    <x v="22"/>
    <s v="Aug-2024"/>
    <d v="2024-08-31T00:00:00"/>
    <n v="4"/>
    <x v="0"/>
    <s v="CP"/>
  </r>
  <r>
    <s v="TRX0101"/>
    <x v="56"/>
    <s v="CUST010"/>
    <s v="Maria Garcia"/>
    <s v="P010"/>
    <s v="Keyboard"/>
    <x v="0"/>
    <x v="3"/>
    <n v="89.99"/>
    <x v="1"/>
    <x v="2"/>
    <s v="Standard"/>
    <d v="2024-04-11T00:00:00"/>
    <x v="27"/>
    <s v="Aug-2024"/>
    <d v="2024-08-31T00:00:00"/>
    <n v="2"/>
    <x v="0"/>
    <s v="MG"/>
  </r>
  <r>
    <s v="TRX0205"/>
    <x v="57"/>
    <s v="CUST025"/>
    <s v="Mark Carter"/>
    <s v="P007"/>
    <s v="Desk"/>
    <x v="2"/>
    <x v="1"/>
    <n v="299.99"/>
    <x v="1"/>
    <x v="2"/>
    <s v="Basic"/>
    <d v="2023-02-08T00:00:00"/>
    <x v="17"/>
    <s v="Aug-2024"/>
    <d v="2024-08-31T00:00:00"/>
    <n v="3"/>
    <x v="0"/>
    <s v="MC"/>
  </r>
  <r>
    <s v="TRX0020"/>
    <x v="58"/>
    <s v="CUST007"/>
    <s v="David Martinez"/>
    <s v="P003"/>
    <s v="Headphones"/>
    <x v="0"/>
    <x v="4"/>
    <n v="149.99"/>
    <x v="3"/>
    <x v="1"/>
    <s v="Premium"/>
    <d v="2022-09-16T00:00:00"/>
    <x v="9"/>
    <s v="Aug-2024"/>
    <d v="2024-08-31T00:00:00"/>
    <n v="4"/>
    <x v="0"/>
    <s v="DM"/>
  </r>
  <r>
    <s v="TRX0075"/>
    <x v="58"/>
    <s v="CUST020"/>
    <s v="Margaret Wright"/>
    <s v="P009"/>
    <s v="Monitor"/>
    <x v="0"/>
    <x v="1"/>
    <n v="249.99"/>
    <x v="2"/>
    <x v="4"/>
    <s v="Premium"/>
    <d v="2022-08-09T00:00:00"/>
    <x v="16"/>
    <s v="Aug-2024"/>
    <d v="2024-08-31T00:00:00"/>
    <n v="4"/>
    <x v="0"/>
    <s v="MW"/>
  </r>
  <r>
    <s v="TRX0098"/>
    <x v="58"/>
    <s v="CUST026"/>
    <s v="Karen Hill"/>
    <s v="P009"/>
    <s v="Monitor"/>
    <x v="0"/>
    <x v="0"/>
    <n v="249.99"/>
    <x v="2"/>
    <x v="2"/>
    <s v="Premium"/>
    <d v="2021-09-26T00:00:00"/>
    <x v="0"/>
    <s v="Aug-2024"/>
    <d v="2024-08-31T00:00:00"/>
    <n v="4"/>
    <x v="0"/>
    <s v="KH"/>
  </r>
  <r>
    <s v="TRX0247"/>
    <x v="58"/>
    <s v="CUST046"/>
    <s v="Kathleen Bennett"/>
    <s v="P006"/>
    <s v="Office Chair"/>
    <x v="2"/>
    <x v="4"/>
    <n v="199.99"/>
    <x v="0"/>
    <x v="2"/>
    <s v="Standard"/>
    <d v="2021-09-19T00:00:00"/>
    <x v="37"/>
    <s v="Aug-2024"/>
    <d v="2024-08-31T00:00:00"/>
    <n v="4"/>
    <x v="0"/>
    <s v="KB"/>
  </r>
  <r>
    <s v="TRX0027"/>
    <x v="59"/>
    <s v="CUST028"/>
    <s v="Betty Campbell"/>
    <s v="P006"/>
    <s v="Office Chair"/>
    <x v="2"/>
    <x v="1"/>
    <n v="199.99"/>
    <x v="0"/>
    <x v="2"/>
    <s v="Premium"/>
    <d v="2023-03-06T00:00:00"/>
    <x v="21"/>
    <s v="Aug-2024"/>
    <d v="2024-08-31T00:00:00"/>
    <n v="3"/>
    <x v="0"/>
    <s v="BC"/>
  </r>
  <r>
    <s v="TRX0140"/>
    <x v="60"/>
    <s v="CUST025"/>
    <s v="Mark Carter"/>
    <s v="P010"/>
    <s v="Keyboard"/>
    <x v="0"/>
    <x v="2"/>
    <n v="89.99"/>
    <x v="0"/>
    <x v="4"/>
    <s v="Premium"/>
    <d v="2023-02-15T00:00:00"/>
    <x v="28"/>
    <s v="Aug-2024"/>
    <d v="2024-08-31T00:00:00"/>
    <n v="3"/>
    <x v="0"/>
    <s v="MC"/>
  </r>
  <r>
    <s v="TRX0132"/>
    <x v="61"/>
    <s v="CUST047"/>
    <s v="Gerald Murphy"/>
    <s v="P001"/>
    <s v="Laptop"/>
    <x v="0"/>
    <x v="1"/>
    <n v="899.99"/>
    <x v="3"/>
    <x v="4"/>
    <s v="Basic"/>
    <d v="2021-11-26T00:00:00"/>
    <x v="29"/>
    <s v="Aug-2024"/>
    <d v="2024-08-31T00:00:00"/>
    <n v="4"/>
    <x v="0"/>
    <s v="GM"/>
  </r>
  <r>
    <s v="TRX0031"/>
    <x v="61"/>
    <s v="CUST036"/>
    <s v="Nancy Collins"/>
    <s v="P003"/>
    <s v="Headphones"/>
    <x v="0"/>
    <x v="0"/>
    <n v="149.99"/>
    <x v="2"/>
    <x v="4"/>
    <s v="Basic"/>
    <d v="2022-01-13T00:00:00"/>
    <x v="6"/>
    <s v="Aug-2024"/>
    <d v="2024-08-31T00:00:00"/>
    <n v="4"/>
    <x v="0"/>
    <s v="NC"/>
  </r>
  <r>
    <s v="TRX0236"/>
    <x v="62"/>
    <s v="CUST044"/>
    <s v="Cynthia Price"/>
    <s v="P008"/>
    <s v="Bookshelf"/>
    <x v="2"/>
    <x v="1"/>
    <n v="149.99"/>
    <x v="1"/>
    <x v="0"/>
    <s v="Basic"/>
    <d v="2024-01-19T00:00:00"/>
    <x v="2"/>
    <s v="Aug-2024"/>
    <d v="2024-08-31T00:00:00"/>
    <n v="2"/>
    <x v="0"/>
    <s v="CP"/>
  </r>
  <r>
    <s v="TRX0001"/>
    <x v="63"/>
    <s v="CUST039"/>
    <s v="Lawrence Reed"/>
    <s v="P004"/>
    <s v="Coffee Maker"/>
    <x v="1"/>
    <x v="0"/>
    <n v="79.989999999999995"/>
    <x v="0"/>
    <x v="0"/>
    <s v="Premium"/>
    <d v="2022-08-06T00:00:00"/>
    <x v="18"/>
    <s v="Aug-2024"/>
    <d v="2024-08-31T00:00:00"/>
    <n v="4"/>
    <x v="0"/>
    <s v="LR"/>
  </r>
  <r>
    <s v="TRX0037"/>
    <x v="63"/>
    <s v="CUST035"/>
    <s v="Harry Morgan"/>
    <s v="P009"/>
    <s v="Monitor"/>
    <x v="0"/>
    <x v="2"/>
    <n v="249.99"/>
    <x v="0"/>
    <x v="1"/>
    <s v="Standard"/>
    <d v="2022-01-11T00:00:00"/>
    <x v="36"/>
    <s v="Aug-2024"/>
    <d v="2024-08-31T00:00:00"/>
    <n v="4"/>
    <x v="0"/>
    <s v="HM"/>
  </r>
  <r>
    <s v="TRX0058"/>
    <x v="64"/>
    <s v="CUST047"/>
    <s v="Gerald Murphy"/>
    <s v="P002"/>
    <s v="Smartphone"/>
    <x v="0"/>
    <x v="3"/>
    <n v="699.99"/>
    <x v="0"/>
    <x v="0"/>
    <s v="Premium"/>
    <d v="2021-10-28T00:00:00"/>
    <x v="38"/>
    <s v="Aug-2024"/>
    <d v="2024-08-31T00:00:00"/>
    <n v="4"/>
    <x v="0"/>
    <s v="GM"/>
  </r>
  <r>
    <s v="TRX0170"/>
    <x v="64"/>
    <s v="CUST034"/>
    <s v="Carol Evans"/>
    <s v="P003"/>
    <s v="Headphones"/>
    <x v="0"/>
    <x v="0"/>
    <n v="149.99"/>
    <x v="0"/>
    <x v="3"/>
    <s v="Premium"/>
    <d v="2023-10-13T00:00:00"/>
    <x v="6"/>
    <s v="Aug-2024"/>
    <d v="2024-08-31T00:00:00"/>
    <n v="2"/>
    <x v="0"/>
    <s v="CE"/>
  </r>
  <r>
    <s v="TRX0248"/>
    <x v="65"/>
    <s v="CUST032"/>
    <s v="Sandra Phillips"/>
    <s v="P002"/>
    <s v="Smartphone"/>
    <x v="0"/>
    <x v="2"/>
    <n v="699.99"/>
    <x v="1"/>
    <x v="2"/>
    <s v="Premium"/>
    <d v="2021-08-13T00:00:00"/>
    <x v="10"/>
    <s v="Aug-2024"/>
    <d v="2024-08-31T00:00:00"/>
    <n v="5"/>
    <x v="0"/>
    <s v="SP"/>
  </r>
  <r>
    <s v="TRX0099"/>
    <x v="66"/>
    <s v="CUST034"/>
    <s v="Carol Evans"/>
    <s v="P009"/>
    <s v="Monitor"/>
    <x v="0"/>
    <x v="3"/>
    <n v="249.99"/>
    <x v="1"/>
    <x v="3"/>
    <s v="Premium"/>
    <d v="2022-05-04T00:00:00"/>
    <x v="39"/>
    <s v="Sep-2024"/>
    <d v="2024-09-30T00:00:00"/>
    <n v="4"/>
    <x v="0"/>
    <s v="CE"/>
  </r>
  <r>
    <s v="TRX0074"/>
    <x v="66"/>
    <s v="CUST023"/>
    <s v="Paul Baker"/>
    <s v="P009"/>
    <s v="Monitor"/>
    <x v="0"/>
    <x v="3"/>
    <n v="249.99"/>
    <x v="3"/>
    <x v="2"/>
    <s v="Premium"/>
    <d v="2024-02-10T00:00:00"/>
    <x v="39"/>
    <s v="Sep-2024"/>
    <d v="2024-09-30T00:00:00"/>
    <n v="2"/>
    <x v="0"/>
    <s v="PB"/>
  </r>
  <r>
    <s v="TRX0225"/>
    <x v="67"/>
    <s v="CUST039"/>
    <s v="Lawrence Reed"/>
    <s v="P002"/>
    <s v="Smartphone"/>
    <x v="0"/>
    <x v="2"/>
    <n v="699.99"/>
    <x v="3"/>
    <x v="0"/>
    <s v="Premium"/>
    <d v="2022-11-05T00:00:00"/>
    <x v="10"/>
    <s v="Sep-2024"/>
    <d v="2024-09-30T00:00:00"/>
    <n v="3"/>
    <x v="0"/>
    <s v="LR"/>
  </r>
  <r>
    <s v="TRX0100"/>
    <x v="68"/>
    <s v="CUST031"/>
    <s v="Steven Turner"/>
    <s v="P005"/>
    <s v="Blender"/>
    <x v="1"/>
    <x v="0"/>
    <n v="59.99"/>
    <x v="1"/>
    <x v="0"/>
    <s v="Premium"/>
    <d v="2022-06-05T00:00:00"/>
    <x v="1"/>
    <s v="Sep-2024"/>
    <d v="2024-09-30T00:00:00"/>
    <n v="4"/>
    <x v="0"/>
    <s v="ST"/>
  </r>
  <r>
    <s v="TRX0142"/>
    <x v="69"/>
    <s v="CUST002"/>
    <s v="Emma Wilson"/>
    <s v="P005"/>
    <s v="Blender"/>
    <x v="1"/>
    <x v="0"/>
    <n v="59.99"/>
    <x v="2"/>
    <x v="4"/>
    <s v="Standard"/>
    <d v="2022-07-06T00:00:00"/>
    <x v="1"/>
    <s v="Sep-2024"/>
    <d v="2024-09-30T00:00:00"/>
    <n v="4"/>
    <x v="0"/>
    <s v="EW"/>
  </r>
  <r>
    <s v="TRX0112"/>
    <x v="69"/>
    <s v="CUST008"/>
    <s v="Jennifer Taylor"/>
    <s v="P004"/>
    <s v="Coffee Maker"/>
    <x v="1"/>
    <x v="4"/>
    <n v="79.989999999999995"/>
    <x v="0"/>
    <x v="2"/>
    <s v="Basic"/>
    <d v="2021-11-30T00:00:00"/>
    <x v="40"/>
    <s v="Sep-2024"/>
    <d v="2024-09-30T00:00:00"/>
    <n v="4"/>
    <x v="0"/>
    <s v="JT"/>
  </r>
  <r>
    <s v="TRX0161"/>
    <x v="70"/>
    <s v="CUST017"/>
    <s v="Charles Allen"/>
    <s v="P004"/>
    <s v="Coffee Maker"/>
    <x v="1"/>
    <x v="3"/>
    <n v="79.989999999999995"/>
    <x v="0"/>
    <x v="3"/>
    <s v="Basic"/>
    <d v="2022-05-12T00:00:00"/>
    <x v="26"/>
    <s v="Sep-2024"/>
    <d v="2024-09-30T00:00:00"/>
    <n v="4"/>
    <x v="0"/>
    <s v="CA"/>
  </r>
  <r>
    <s v="TRX0108"/>
    <x v="71"/>
    <s v="CUST024"/>
    <s v="Dorothy Nelson"/>
    <s v="P007"/>
    <s v="Desk"/>
    <x v="2"/>
    <x v="0"/>
    <n v="299.99"/>
    <x v="1"/>
    <x v="0"/>
    <s v="Premium"/>
    <d v="2021-10-25T00:00:00"/>
    <x v="23"/>
    <s v="Sep-2024"/>
    <d v="2024-09-30T00:00:00"/>
    <n v="4"/>
    <x v="0"/>
    <s v="DN"/>
  </r>
  <r>
    <s v="TRX0211"/>
    <x v="72"/>
    <s v="CUST046"/>
    <s v="Kathleen Bennett"/>
    <s v="P010"/>
    <s v="Keyboard"/>
    <x v="0"/>
    <x v="2"/>
    <n v="89.99"/>
    <x v="1"/>
    <x v="1"/>
    <s v="Premium"/>
    <d v="2022-03-21T00:00:00"/>
    <x v="28"/>
    <s v="Sep-2024"/>
    <d v="2024-09-30T00:00:00"/>
    <n v="4"/>
    <x v="0"/>
    <s v="KB"/>
  </r>
  <r>
    <s v="TRX0005"/>
    <x v="73"/>
    <s v="CUST042"/>
    <s v="Ruth Brooks"/>
    <s v="P003"/>
    <s v="Headphones"/>
    <x v="0"/>
    <x v="4"/>
    <n v="149.99"/>
    <x v="0"/>
    <x v="2"/>
    <s v="Basic"/>
    <d v="2022-12-14T00:00:00"/>
    <x v="9"/>
    <s v="Sep-2024"/>
    <d v="2024-09-30T00:00:00"/>
    <n v="3"/>
    <x v="0"/>
    <s v="RB"/>
  </r>
  <r>
    <s v="TRX0195"/>
    <x v="74"/>
    <s v="CUST026"/>
    <s v="Karen Hill"/>
    <s v="P009"/>
    <s v="Monitor"/>
    <x v="0"/>
    <x v="2"/>
    <n v="249.99"/>
    <x v="2"/>
    <x v="1"/>
    <s v="Basic"/>
    <d v="2023-03-08T00:00:00"/>
    <x v="36"/>
    <s v="Sep-2024"/>
    <d v="2024-09-30T00:00:00"/>
    <n v="3"/>
    <x v="0"/>
    <s v="KH"/>
  </r>
  <r>
    <s v="TRX0054"/>
    <x v="74"/>
    <s v="CUST004"/>
    <s v="Sarah Davis"/>
    <s v="P006"/>
    <s v="Office Chair"/>
    <x v="2"/>
    <x v="4"/>
    <n v="199.99"/>
    <x v="3"/>
    <x v="4"/>
    <s v="Basic"/>
    <d v="2021-09-19T00:00:00"/>
    <x v="37"/>
    <s v="Sep-2024"/>
    <d v="2024-09-30T00:00:00"/>
    <n v="4"/>
    <x v="0"/>
    <s v="SD"/>
  </r>
  <r>
    <s v="TRX0077"/>
    <x v="75"/>
    <s v="CUST019"/>
    <s v="Daniel King"/>
    <s v="P010"/>
    <s v="Keyboard"/>
    <x v="0"/>
    <x v="1"/>
    <n v="89.99"/>
    <x v="1"/>
    <x v="4"/>
    <s v="Premium"/>
    <d v="2021-09-07T00:00:00"/>
    <x v="19"/>
    <s v="Sep-2024"/>
    <d v="2024-09-30T00:00:00"/>
    <n v="5"/>
    <x v="0"/>
    <s v="DK"/>
  </r>
  <r>
    <s v="TRX0111"/>
    <x v="75"/>
    <s v="CUST011"/>
    <s v="William White"/>
    <s v="P003"/>
    <s v="Headphones"/>
    <x v="0"/>
    <x v="3"/>
    <n v="149.99"/>
    <x v="2"/>
    <x v="4"/>
    <s v="Standard"/>
    <d v="2021-10-13T00:00:00"/>
    <x v="5"/>
    <s v="Sep-2024"/>
    <d v="2024-09-30T00:00:00"/>
    <n v="4"/>
    <x v="0"/>
    <s v="WW"/>
  </r>
  <r>
    <s v="TRX0123"/>
    <x v="75"/>
    <s v="CUST041"/>
    <s v="Peter Richardson"/>
    <s v="P002"/>
    <s v="Smartphone"/>
    <x v="0"/>
    <x v="4"/>
    <n v="699.99"/>
    <x v="2"/>
    <x v="1"/>
    <s v="Basic"/>
    <d v="2022-02-26T00:00:00"/>
    <x v="13"/>
    <s v="Sep-2024"/>
    <d v="2024-09-30T00:00:00"/>
    <n v="4"/>
    <x v="0"/>
    <s v="PR"/>
  </r>
  <r>
    <s v="TRX0177"/>
    <x v="76"/>
    <s v="CUST032"/>
    <s v="Sandra Phillips"/>
    <s v="P001"/>
    <s v="Laptop"/>
    <x v="0"/>
    <x v="0"/>
    <n v="899.99"/>
    <x v="1"/>
    <x v="2"/>
    <s v="Standard"/>
    <d v="2023-08-19T00:00:00"/>
    <x v="4"/>
    <s v="Sep-2024"/>
    <d v="2024-09-30T00:00:00"/>
    <n v="3"/>
    <x v="0"/>
    <s v="SP"/>
  </r>
  <r>
    <s v="TRX0119"/>
    <x v="77"/>
    <s v="CUST014"/>
    <s v="Linda Martin"/>
    <s v="P008"/>
    <s v="Bookshelf"/>
    <x v="2"/>
    <x v="0"/>
    <n v="149.99"/>
    <x v="2"/>
    <x v="4"/>
    <s v="Basic"/>
    <d v="2022-11-21T00:00:00"/>
    <x v="6"/>
    <s v="Sep-2024"/>
    <d v="2024-09-30T00:00:00"/>
    <n v="3"/>
    <x v="0"/>
    <s v="LM"/>
  </r>
  <r>
    <s v="TRX0181"/>
    <x v="78"/>
    <s v="CUST012"/>
    <s v="Patricia Moore"/>
    <s v="P007"/>
    <s v="Desk"/>
    <x v="2"/>
    <x v="2"/>
    <n v="299.99"/>
    <x v="3"/>
    <x v="0"/>
    <s v="Basic"/>
    <d v="2022-01-08T00:00:00"/>
    <x v="31"/>
    <s v="Sep-2024"/>
    <d v="2024-09-30T00:00:00"/>
    <n v="4"/>
    <x v="0"/>
    <s v="PM"/>
  </r>
  <r>
    <s v="TRX0129"/>
    <x v="79"/>
    <s v="CUST015"/>
    <s v="Richard Lee"/>
    <s v="P006"/>
    <s v="Office Chair"/>
    <x v="2"/>
    <x v="3"/>
    <n v="199.99"/>
    <x v="3"/>
    <x v="4"/>
    <s v="Standard"/>
    <d v="2023-01-27T00:00:00"/>
    <x v="41"/>
    <s v="Sep-2024"/>
    <d v="2024-09-30T00:00:00"/>
    <n v="3"/>
    <x v="0"/>
    <s v="RL"/>
  </r>
  <r>
    <s v="TRX0174"/>
    <x v="80"/>
    <s v="CUST003"/>
    <s v="Michael Brown"/>
    <s v="P007"/>
    <s v="Desk"/>
    <x v="2"/>
    <x v="4"/>
    <n v="299.99"/>
    <x v="0"/>
    <x v="0"/>
    <s v="Premium"/>
    <d v="2021-09-21T00:00:00"/>
    <x v="15"/>
    <s v="Oct-2024"/>
    <d v="2024-10-31T00:00:00"/>
    <n v="4"/>
    <x v="0"/>
    <s v="MB"/>
  </r>
  <r>
    <s v="TRX0146"/>
    <x v="81"/>
    <s v="CUST010"/>
    <s v="Maria Garcia"/>
    <s v="P005"/>
    <s v="Blender"/>
    <x v="1"/>
    <x v="2"/>
    <n v="59.99"/>
    <x v="1"/>
    <x v="0"/>
    <s v="Basic"/>
    <d v="2022-01-18T00:00:00"/>
    <x v="3"/>
    <s v="Oct-2024"/>
    <d v="2024-10-31T00:00:00"/>
    <n v="4"/>
    <x v="0"/>
    <s v="MG"/>
  </r>
  <r>
    <s v="TRX0203"/>
    <x v="81"/>
    <s v="CUST032"/>
    <s v="Sandra Phillips"/>
    <s v="P003"/>
    <s v="Headphones"/>
    <x v="0"/>
    <x v="4"/>
    <n v="149.99"/>
    <x v="1"/>
    <x v="2"/>
    <s v="Premium"/>
    <d v="2023-05-30T00:00:00"/>
    <x v="9"/>
    <s v="Oct-2024"/>
    <d v="2024-10-31T00:00:00"/>
    <n v="3"/>
    <x v="0"/>
    <s v="SP"/>
  </r>
  <r>
    <s v="TRX0055"/>
    <x v="82"/>
    <s v="CUST016"/>
    <s v="Elizabeth Hall"/>
    <s v="P002"/>
    <s v="Smartphone"/>
    <x v="0"/>
    <x v="2"/>
    <n v="699.99"/>
    <x v="3"/>
    <x v="4"/>
    <s v="Premium"/>
    <d v="2023-12-14T00:00:00"/>
    <x v="10"/>
    <s v="Oct-2024"/>
    <d v="2024-10-31T00:00:00"/>
    <n v="2"/>
    <x v="0"/>
    <s v="EH"/>
  </r>
  <r>
    <s v="TRX0218"/>
    <x v="82"/>
    <s v="CUST034"/>
    <s v="Carol Evans"/>
    <s v="P008"/>
    <s v="Bookshelf"/>
    <x v="2"/>
    <x v="0"/>
    <n v="149.99"/>
    <x v="1"/>
    <x v="1"/>
    <s v="Standard"/>
    <d v="2023-01-14T00:00:00"/>
    <x v="6"/>
    <s v="Oct-2024"/>
    <d v="2024-10-31T00:00:00"/>
    <n v="3"/>
    <x v="0"/>
    <s v="CE"/>
  </r>
  <r>
    <s v="TRX0085"/>
    <x v="83"/>
    <s v="CUST019"/>
    <s v="Daniel King"/>
    <s v="P007"/>
    <s v="Desk"/>
    <x v="2"/>
    <x v="0"/>
    <n v="299.99"/>
    <x v="1"/>
    <x v="0"/>
    <s v="Standard"/>
    <d v="2023-09-05T00:00:00"/>
    <x v="23"/>
    <s v="Oct-2024"/>
    <d v="2024-10-31T00:00:00"/>
    <n v="3"/>
    <x v="0"/>
    <s v="DK"/>
  </r>
  <r>
    <s v="TRX0158"/>
    <x v="84"/>
    <s v="CUST027"/>
    <s v="George Adams"/>
    <s v="P001"/>
    <s v="Laptop"/>
    <x v="0"/>
    <x v="0"/>
    <n v="899.99"/>
    <x v="2"/>
    <x v="3"/>
    <s v="Basic"/>
    <d v="2023-10-16T00:00:00"/>
    <x v="4"/>
    <s v="Oct-2024"/>
    <d v="2024-10-31T00:00:00"/>
    <n v="2"/>
    <x v="0"/>
    <s v="GA"/>
  </r>
  <r>
    <s v="TRX0173"/>
    <x v="85"/>
    <s v="CUST018"/>
    <s v="Barbara Young"/>
    <s v="P002"/>
    <s v="Smartphone"/>
    <x v="0"/>
    <x v="1"/>
    <n v="699.99"/>
    <x v="0"/>
    <x v="4"/>
    <s v="Standard"/>
    <d v="2023-03-23T00:00:00"/>
    <x v="12"/>
    <s v="Oct-2024"/>
    <d v="2024-10-31T00:00:00"/>
    <n v="3"/>
    <x v="0"/>
    <s v="BY"/>
  </r>
  <r>
    <s v="TRX0034"/>
    <x v="85"/>
    <s v="CUST049"/>
    <s v="Raymond Ross"/>
    <s v="P002"/>
    <s v="Smartphone"/>
    <x v="0"/>
    <x v="4"/>
    <n v="699.99"/>
    <x v="1"/>
    <x v="0"/>
    <s v="Basic"/>
    <d v="2024-04-03T00:00:00"/>
    <x v="13"/>
    <s v="Oct-2024"/>
    <d v="2024-10-31T00:00:00"/>
    <n v="2"/>
    <x v="0"/>
    <s v="RR"/>
  </r>
  <r>
    <s v="TRX0189"/>
    <x v="85"/>
    <s v="CUST040"/>
    <s v="Sharon Butler"/>
    <s v="P001"/>
    <s v="Laptop"/>
    <x v="0"/>
    <x v="3"/>
    <n v="899.99"/>
    <x v="1"/>
    <x v="4"/>
    <s v="Standard"/>
    <d v="2024-03-18T00:00:00"/>
    <x v="8"/>
    <s v="Oct-2024"/>
    <d v="2024-10-31T00:00:00"/>
    <n v="2"/>
    <x v="0"/>
    <s v="SB"/>
  </r>
  <r>
    <s v="TRX0190"/>
    <x v="86"/>
    <s v="CUST039"/>
    <s v="Lawrence Reed"/>
    <s v="P003"/>
    <s v="Headphones"/>
    <x v="0"/>
    <x v="2"/>
    <n v="149.99"/>
    <x v="1"/>
    <x v="3"/>
    <s v="Basic"/>
    <d v="2022-12-21T00:00:00"/>
    <x v="22"/>
    <s v="Oct-2024"/>
    <d v="2024-10-31T00:00:00"/>
    <n v="3"/>
    <x v="0"/>
    <s v="LR"/>
  </r>
  <r>
    <s v="TRX0079"/>
    <x v="87"/>
    <s v="CUST039"/>
    <s v="Lawrence Reed"/>
    <s v="P010"/>
    <s v="Keyboard"/>
    <x v="0"/>
    <x v="0"/>
    <n v="89.99"/>
    <x v="2"/>
    <x v="0"/>
    <s v="Basic"/>
    <d v="2021-12-21T00:00:00"/>
    <x v="25"/>
    <s v="Oct-2024"/>
    <d v="2024-10-31T00:00:00"/>
    <n v="4"/>
    <x v="0"/>
    <s v="LR"/>
  </r>
  <r>
    <s v="TRX0095"/>
    <x v="88"/>
    <s v="CUST046"/>
    <s v="Kathleen Bennett"/>
    <s v="P003"/>
    <s v="Headphones"/>
    <x v="0"/>
    <x v="2"/>
    <n v="149.99"/>
    <x v="2"/>
    <x v="0"/>
    <s v="Basic"/>
    <d v="2021-10-04T00:00:00"/>
    <x v="22"/>
    <s v="Oct-2024"/>
    <d v="2024-10-31T00:00:00"/>
    <n v="4"/>
    <x v="0"/>
    <s v="KB"/>
  </r>
  <r>
    <s v="TRX0009"/>
    <x v="88"/>
    <s v="CUST004"/>
    <s v="Sarah Davis"/>
    <s v="P002"/>
    <s v="Smartphone"/>
    <x v="0"/>
    <x v="2"/>
    <n v="699.99"/>
    <x v="0"/>
    <x v="0"/>
    <s v="Basic"/>
    <d v="2023-03-07T00:00:00"/>
    <x v="10"/>
    <s v="Oct-2024"/>
    <d v="2024-10-31T00:00:00"/>
    <n v="3"/>
    <x v="0"/>
    <s v="SD"/>
  </r>
  <r>
    <s v="TRX0167"/>
    <x v="89"/>
    <s v="CUST028"/>
    <s v="Betty Campbell"/>
    <s v="P002"/>
    <s v="Smartphone"/>
    <x v="0"/>
    <x v="1"/>
    <n v="699.99"/>
    <x v="0"/>
    <x v="2"/>
    <s v="Premium"/>
    <d v="2022-03-15T00:00:00"/>
    <x v="12"/>
    <s v="Oct-2024"/>
    <d v="2024-10-31T00:00:00"/>
    <n v="4"/>
    <x v="0"/>
    <s v="BC"/>
  </r>
  <r>
    <s v="TRX0153"/>
    <x v="90"/>
    <s v="CUST049"/>
    <s v="Raymond Ross"/>
    <s v="P010"/>
    <s v="Keyboard"/>
    <x v="0"/>
    <x v="0"/>
    <n v="89.99"/>
    <x v="1"/>
    <x v="2"/>
    <s v="Standard"/>
    <d v="2022-02-23T00:00:00"/>
    <x v="25"/>
    <s v="Oct-2024"/>
    <d v="2024-10-31T00:00:00"/>
    <n v="4"/>
    <x v="0"/>
    <s v="RR"/>
  </r>
  <r>
    <s v="TRX0057"/>
    <x v="91"/>
    <s v="CUST023"/>
    <s v="Paul Baker"/>
    <s v="P009"/>
    <s v="Monitor"/>
    <x v="0"/>
    <x v="1"/>
    <n v="249.99"/>
    <x v="1"/>
    <x v="1"/>
    <s v="Standard"/>
    <d v="2022-11-16T00:00:00"/>
    <x v="16"/>
    <s v="Nov-2024"/>
    <d v="2024-11-30T00:00:00"/>
    <n v="3"/>
    <x v="0"/>
    <s v="PB"/>
  </r>
  <r>
    <s v="TRX0017"/>
    <x v="92"/>
    <s v="CUST026"/>
    <s v="Karen Hill"/>
    <s v="P007"/>
    <s v="Desk"/>
    <x v="2"/>
    <x v="0"/>
    <n v="299.99"/>
    <x v="1"/>
    <x v="1"/>
    <s v="Standard"/>
    <d v="2021-11-02T00:00:00"/>
    <x v="23"/>
    <s v="Nov-2024"/>
    <d v="2024-11-30T00:00:00"/>
    <n v="4"/>
    <x v="0"/>
    <s v="KH"/>
  </r>
  <r>
    <s v="TRX0060"/>
    <x v="93"/>
    <s v="CUST012"/>
    <s v="Patricia Moore"/>
    <s v="P010"/>
    <s v="Keyboard"/>
    <x v="0"/>
    <x v="0"/>
    <n v="89.99"/>
    <x v="1"/>
    <x v="2"/>
    <s v="Premium"/>
    <d v="2021-08-12T00:00:00"/>
    <x v="25"/>
    <s v="Nov-2024"/>
    <d v="2024-11-30T00:00:00"/>
    <n v="5"/>
    <x v="0"/>
    <s v="PM"/>
  </r>
  <r>
    <s v="TRX0109"/>
    <x v="94"/>
    <s v="CUST010"/>
    <s v="Maria Garcia"/>
    <s v="P008"/>
    <s v="Bookshelf"/>
    <x v="2"/>
    <x v="2"/>
    <n v="149.99"/>
    <x v="1"/>
    <x v="3"/>
    <s v="Premium"/>
    <d v="2022-10-14T00:00:00"/>
    <x v="22"/>
    <s v="Nov-2024"/>
    <d v="2024-11-30T00:00:00"/>
    <n v="3"/>
    <x v="0"/>
    <s v="MG"/>
  </r>
  <r>
    <s v="TRX0090"/>
    <x v="95"/>
    <s v="CUST020"/>
    <s v="Margaret Wright"/>
    <s v="P009"/>
    <s v="Monitor"/>
    <x v="0"/>
    <x v="3"/>
    <n v="249.99"/>
    <x v="1"/>
    <x v="2"/>
    <s v="Premium"/>
    <d v="2022-09-24T00:00:00"/>
    <x v="39"/>
    <s v="Nov-2024"/>
    <d v="2024-11-30T00:00:00"/>
    <n v="3"/>
    <x v="0"/>
    <s v="MW"/>
  </r>
  <r>
    <s v="TRX0035"/>
    <x v="96"/>
    <s v="CUST041"/>
    <s v="Peter Richardson"/>
    <s v="P003"/>
    <s v="Headphones"/>
    <x v="0"/>
    <x v="0"/>
    <n v="149.99"/>
    <x v="0"/>
    <x v="2"/>
    <s v="Basic"/>
    <d v="2022-07-27T00:00:00"/>
    <x v="6"/>
    <s v="Nov-2024"/>
    <d v="2024-11-30T00:00:00"/>
    <n v="4"/>
    <x v="0"/>
    <s v="PR"/>
  </r>
  <r>
    <s v="TRX0172"/>
    <x v="96"/>
    <s v="CUST023"/>
    <s v="Paul Baker"/>
    <s v="P005"/>
    <s v="Blender"/>
    <x v="1"/>
    <x v="1"/>
    <n v="59.99"/>
    <x v="2"/>
    <x v="3"/>
    <s v="Premium"/>
    <d v="2022-05-13T00:00:00"/>
    <x v="42"/>
    <s v="Nov-2024"/>
    <d v="2024-11-30T00:00:00"/>
    <n v="4"/>
    <x v="0"/>
    <s v="PB"/>
  </r>
  <r>
    <s v="TRX0076"/>
    <x v="96"/>
    <s v="CUST012"/>
    <s v="Patricia Moore"/>
    <s v="P009"/>
    <s v="Monitor"/>
    <x v="0"/>
    <x v="4"/>
    <n v="249.99"/>
    <x v="1"/>
    <x v="3"/>
    <s v="Standard"/>
    <d v="2022-04-08T00:00:00"/>
    <x v="14"/>
    <s v="Nov-2024"/>
    <d v="2024-11-30T00:00:00"/>
    <n v="4"/>
    <x v="0"/>
    <s v="PM"/>
  </r>
  <r>
    <s v="TRX0210"/>
    <x v="97"/>
    <s v="CUST004"/>
    <s v="Sarah Davis"/>
    <s v="P008"/>
    <s v="Bookshelf"/>
    <x v="2"/>
    <x v="1"/>
    <n v="149.99"/>
    <x v="2"/>
    <x v="0"/>
    <s v="Basic"/>
    <d v="2022-12-06T00:00:00"/>
    <x v="2"/>
    <s v="Nov-2024"/>
    <d v="2024-11-30T00:00:00"/>
    <n v="3"/>
    <x v="0"/>
    <s v="SD"/>
  </r>
  <r>
    <s v="TRX0149"/>
    <x v="97"/>
    <s v="CUST027"/>
    <s v="George Adams"/>
    <s v="P005"/>
    <s v="Blender"/>
    <x v="1"/>
    <x v="0"/>
    <n v="59.99"/>
    <x v="3"/>
    <x v="1"/>
    <s v="Standard"/>
    <d v="2023-11-30T00:00:00"/>
    <x v="1"/>
    <s v="Nov-2024"/>
    <d v="2024-11-30T00:00:00"/>
    <n v="2"/>
    <x v="0"/>
    <s v="GA"/>
  </r>
  <r>
    <s v="TRX0073"/>
    <x v="98"/>
    <s v="CUST032"/>
    <s v="Sandra Phillips"/>
    <s v="P008"/>
    <s v="Bookshelf"/>
    <x v="2"/>
    <x v="1"/>
    <n v="149.99"/>
    <x v="0"/>
    <x v="2"/>
    <s v="Basic"/>
    <d v="2022-11-04T00:00:00"/>
    <x v="2"/>
    <s v="Nov-2024"/>
    <d v="2024-11-30T00:00:00"/>
    <n v="3"/>
    <x v="0"/>
    <s v="SP"/>
  </r>
  <r>
    <s v="TRX0033"/>
    <x v="98"/>
    <s v="CUST025"/>
    <s v="Mark Carter"/>
    <s v="P002"/>
    <s v="Smartphone"/>
    <x v="0"/>
    <x v="2"/>
    <n v="699.99"/>
    <x v="2"/>
    <x v="3"/>
    <s v="Standard"/>
    <d v="2022-07-28T00:00:00"/>
    <x v="10"/>
    <s v="Nov-2024"/>
    <d v="2024-11-30T00:00:00"/>
    <n v="4"/>
    <x v="0"/>
    <s v="MC"/>
  </r>
  <r>
    <s v="TRX0160"/>
    <x v="99"/>
    <s v="CUST029"/>
    <s v="Edward Mitchell"/>
    <s v="P006"/>
    <s v="Office Chair"/>
    <x v="2"/>
    <x v="4"/>
    <n v="199.99"/>
    <x v="3"/>
    <x v="0"/>
    <s v="Premium"/>
    <d v="2021-08-19T00:00:00"/>
    <x v="37"/>
    <s v="Nov-2024"/>
    <d v="2024-11-30T00:00:00"/>
    <n v="5"/>
    <x v="0"/>
    <s v="EM"/>
  </r>
  <r>
    <s v="TRX0145"/>
    <x v="100"/>
    <s v="CUST033"/>
    <s v="Frank Torres"/>
    <s v="P005"/>
    <s v="Blender"/>
    <x v="1"/>
    <x v="3"/>
    <n v="59.99"/>
    <x v="3"/>
    <x v="3"/>
    <s v="Standard"/>
    <d v="2021-12-30T00:00:00"/>
    <x v="30"/>
    <s v="Nov-2024"/>
    <d v="2024-11-30T00:00:00"/>
    <n v="4"/>
    <x v="0"/>
    <s v="FT"/>
  </r>
  <r>
    <s v="TRX0148"/>
    <x v="100"/>
    <s v="CUST004"/>
    <s v="Sarah Davis"/>
    <s v="P002"/>
    <s v="Smartphone"/>
    <x v="0"/>
    <x v="0"/>
    <n v="699.99"/>
    <x v="2"/>
    <x v="3"/>
    <s v="Standard"/>
    <d v="2022-01-22T00:00:00"/>
    <x v="7"/>
    <s v="Nov-2024"/>
    <d v="2024-11-30T00:00:00"/>
    <n v="4"/>
    <x v="0"/>
    <s v="SD"/>
  </r>
  <r>
    <s v="TRX0012"/>
    <x v="101"/>
    <s v="CUST045"/>
    <s v="Douglas Watson"/>
    <s v="P009"/>
    <s v="Monitor"/>
    <x v="0"/>
    <x v="1"/>
    <n v="249.99"/>
    <x v="1"/>
    <x v="2"/>
    <s v="Basic"/>
    <d v="2022-11-08T00:00:00"/>
    <x v="16"/>
    <s v="Nov-2024"/>
    <d v="2024-11-30T00:00:00"/>
    <n v="3"/>
    <x v="0"/>
    <s v="DW"/>
  </r>
  <r>
    <s v="TRX0206"/>
    <x v="102"/>
    <s v="CUST014"/>
    <s v="Linda Martin"/>
    <s v="P008"/>
    <s v="Bookshelf"/>
    <x v="2"/>
    <x v="2"/>
    <n v="149.99"/>
    <x v="0"/>
    <x v="1"/>
    <s v="Standard"/>
    <d v="2023-06-24T00:00:00"/>
    <x v="22"/>
    <s v="Nov-2024"/>
    <d v="2024-11-30T00:00:00"/>
    <n v="3"/>
    <x v="0"/>
    <s v="LM"/>
  </r>
  <r>
    <s v="TRX0045"/>
    <x v="103"/>
    <s v="CUST021"/>
    <s v="Kevin Scott"/>
    <s v="P007"/>
    <s v="Desk"/>
    <x v="2"/>
    <x v="0"/>
    <n v="299.99"/>
    <x v="0"/>
    <x v="1"/>
    <s v="Premium"/>
    <d v="2022-04-08T00:00:00"/>
    <x v="23"/>
    <s v="Dec-2024"/>
    <d v="2024-12-31T00:00:00"/>
    <n v="4"/>
    <x v="0"/>
    <s v="KS"/>
  </r>
  <r>
    <s v="TRX0094"/>
    <x v="103"/>
    <s v="CUST017"/>
    <s v="Charles Allen"/>
    <s v="P009"/>
    <s v="Monitor"/>
    <x v="0"/>
    <x v="1"/>
    <n v="249.99"/>
    <x v="0"/>
    <x v="0"/>
    <s v="Premium"/>
    <d v="2021-10-16T00:00:00"/>
    <x v="16"/>
    <s v="Dec-2024"/>
    <d v="2024-12-31T00:00:00"/>
    <n v="4"/>
    <x v="0"/>
    <s v="CA"/>
  </r>
  <r>
    <s v="TRX0133"/>
    <x v="103"/>
    <s v="CUST013"/>
    <s v="Joseph Jackson"/>
    <s v="P003"/>
    <s v="Headphones"/>
    <x v="0"/>
    <x v="2"/>
    <n v="149.99"/>
    <x v="0"/>
    <x v="1"/>
    <s v="Premium"/>
    <d v="2021-10-06T00:00:00"/>
    <x v="22"/>
    <s v="Dec-2024"/>
    <d v="2024-12-31T00:00:00"/>
    <n v="4"/>
    <x v="0"/>
    <s v="JJ"/>
  </r>
  <r>
    <s v="TRX0201"/>
    <x v="103"/>
    <s v="CUST025"/>
    <s v="Mark Carter"/>
    <s v="P002"/>
    <s v="Smartphone"/>
    <x v="0"/>
    <x v="1"/>
    <n v="699.99"/>
    <x v="3"/>
    <x v="3"/>
    <s v="Standard"/>
    <d v="2023-01-18T00:00:00"/>
    <x v="12"/>
    <s v="Dec-2024"/>
    <d v="2024-12-31T00:00:00"/>
    <n v="3"/>
    <x v="0"/>
    <s v="MC"/>
  </r>
  <r>
    <s v="TRX0137"/>
    <x v="104"/>
    <s v="CUST011"/>
    <s v="William White"/>
    <s v="P009"/>
    <s v="Monitor"/>
    <x v="0"/>
    <x v="4"/>
    <n v="249.99"/>
    <x v="2"/>
    <x v="4"/>
    <s v="Premium"/>
    <d v="2023-06-21T00:00:00"/>
    <x v="14"/>
    <s v="Dec-2024"/>
    <d v="2024-12-31T00:00:00"/>
    <n v="3"/>
    <x v="0"/>
    <s v="WW"/>
  </r>
  <r>
    <s v="TRX0066"/>
    <x v="105"/>
    <s v="CUST024"/>
    <s v="Dorothy Nelson"/>
    <s v="P002"/>
    <s v="Smartphone"/>
    <x v="0"/>
    <x v="4"/>
    <n v="699.99"/>
    <x v="1"/>
    <x v="2"/>
    <s v="Premium"/>
    <d v="2022-05-22T00:00:00"/>
    <x v="13"/>
    <s v="Dec-2024"/>
    <d v="2024-12-31T00:00:00"/>
    <n v="4"/>
    <x v="0"/>
    <s v="DN"/>
  </r>
  <r>
    <s v="TRX0180"/>
    <x v="106"/>
    <s v="CUST036"/>
    <s v="Nancy Collins"/>
    <s v="P009"/>
    <s v="Monitor"/>
    <x v="0"/>
    <x v="2"/>
    <n v="249.99"/>
    <x v="1"/>
    <x v="0"/>
    <s v="Premium"/>
    <d v="2021-07-19T00:00:00"/>
    <x v="36"/>
    <s v="Dec-2024"/>
    <d v="2024-12-31T00:00:00"/>
    <n v="5"/>
    <x v="0"/>
    <s v="NC"/>
  </r>
  <r>
    <s v="TRX0082"/>
    <x v="106"/>
    <s v="CUST005"/>
    <s v="James Johnson"/>
    <s v="P005"/>
    <s v="Blender"/>
    <x v="1"/>
    <x v="0"/>
    <n v="59.99"/>
    <x v="0"/>
    <x v="0"/>
    <s v="Premium"/>
    <d v="2023-05-06T00:00:00"/>
    <x v="1"/>
    <s v="Dec-2024"/>
    <d v="2024-12-31T00:00:00"/>
    <n v="3"/>
    <x v="0"/>
    <s v="JJ"/>
  </r>
  <r>
    <s v="TRX0036"/>
    <x v="106"/>
    <s v="CUST008"/>
    <s v="Jennifer Taylor"/>
    <s v="P004"/>
    <s v="Coffee Maker"/>
    <x v="1"/>
    <x v="4"/>
    <n v="79.989999999999995"/>
    <x v="3"/>
    <x v="4"/>
    <s v="Standard"/>
    <d v="2022-12-26T00:00:00"/>
    <x v="40"/>
    <s v="Dec-2024"/>
    <d v="2024-12-31T00:00:00"/>
    <n v="3"/>
    <x v="0"/>
    <s v="JT"/>
  </r>
  <r>
    <s v="TRX0198"/>
    <x v="107"/>
    <s v="CUST030"/>
    <s v="Helen Roberts"/>
    <s v="P004"/>
    <s v="Coffee Maker"/>
    <x v="1"/>
    <x v="0"/>
    <n v="79.989999999999995"/>
    <x v="3"/>
    <x v="4"/>
    <s v="Standard"/>
    <d v="2022-08-06T00:00:00"/>
    <x v="18"/>
    <s v="Dec-2024"/>
    <d v="2024-12-31T00:00:00"/>
    <n v="4"/>
    <x v="0"/>
    <s v="HR"/>
  </r>
  <r>
    <s v="TRX0032"/>
    <x v="108"/>
    <s v="CUST041"/>
    <s v="Peter Richardson"/>
    <s v="P001"/>
    <s v="Laptop"/>
    <x v="0"/>
    <x v="2"/>
    <n v="899.99"/>
    <x v="0"/>
    <x v="2"/>
    <s v="Basic"/>
    <d v="2021-07-29T00:00:00"/>
    <x v="43"/>
    <s v="Dec-2024"/>
    <d v="2024-12-31T00:00:00"/>
    <n v="5"/>
    <x v="0"/>
    <s v="PR"/>
  </r>
  <r>
    <s v="TRX0081"/>
    <x v="109"/>
    <s v="CUST007"/>
    <s v="David Martinez"/>
    <s v="P008"/>
    <s v="Bookshelf"/>
    <x v="2"/>
    <x v="3"/>
    <n v="149.99"/>
    <x v="3"/>
    <x v="4"/>
    <s v="Standard"/>
    <d v="2023-10-01T00:00:00"/>
    <x v="5"/>
    <s v="Dec-2024"/>
    <d v="2024-12-31T00:00:00"/>
    <n v="2"/>
    <x v="0"/>
    <s v="DM"/>
  </r>
  <r>
    <s v="TRX0224"/>
    <x v="109"/>
    <s v="CUST031"/>
    <s v="Steven Turner"/>
    <s v="P007"/>
    <s v="Desk"/>
    <x v="2"/>
    <x v="2"/>
    <n v="299.99"/>
    <x v="0"/>
    <x v="4"/>
    <s v="Premium"/>
    <d v="2022-06-12T00:00:00"/>
    <x v="31"/>
    <s v="Dec-2024"/>
    <d v="2024-12-31T00:00:00"/>
    <n v="4"/>
    <x v="0"/>
    <s v="ST"/>
  </r>
  <r>
    <s v="TRX0028"/>
    <x v="110"/>
    <s v="CUST002"/>
    <s v="Emma Wilson"/>
    <s v="P005"/>
    <s v="Blender"/>
    <x v="1"/>
    <x v="2"/>
    <n v="59.99"/>
    <x v="0"/>
    <x v="3"/>
    <s v="Basic"/>
    <d v="2023-09-22T00:00:00"/>
    <x v="3"/>
    <s v="Dec-2024"/>
    <d v="2024-12-31T00:00:00"/>
    <n v="2"/>
    <x v="0"/>
    <s v="EW"/>
  </r>
  <r>
    <s v="TRX0183"/>
    <x v="111"/>
    <s v="CUST007"/>
    <s v="David Martinez"/>
    <s v="P010"/>
    <s v="Keyboard"/>
    <x v="0"/>
    <x v="3"/>
    <n v="89.99"/>
    <x v="3"/>
    <x v="0"/>
    <s v="Standard"/>
    <d v="2022-07-18T00:00:00"/>
    <x v="27"/>
    <s v="Dec-2024"/>
    <d v="2024-12-31T00:00:00"/>
    <n v="4"/>
    <x v="0"/>
    <s v="DM"/>
  </r>
  <r>
    <s v="TRX0163"/>
    <x v="111"/>
    <s v="CUST019"/>
    <s v="Daniel King"/>
    <s v="P001"/>
    <s v="Laptop"/>
    <x v="0"/>
    <x v="1"/>
    <n v="899.99"/>
    <x v="3"/>
    <x v="4"/>
    <s v="Standard"/>
    <d v="2022-03-05T00:00:00"/>
    <x v="29"/>
    <s v="Dec-2024"/>
    <d v="2024-12-31T00:00:00"/>
    <n v="4"/>
    <x v="0"/>
    <s v="DK"/>
  </r>
  <r>
    <s v="TRX0046"/>
    <x v="112"/>
    <s v="CUST003"/>
    <s v="Michael Brown"/>
    <s v="P008"/>
    <s v="Bookshelf"/>
    <x v="2"/>
    <x v="2"/>
    <n v="149.99"/>
    <x v="0"/>
    <x v="1"/>
    <s v="Basic"/>
    <d v="2023-11-09T00:00:00"/>
    <x v="22"/>
    <s v="Dec-2024"/>
    <d v="2024-12-31T00:00:00"/>
    <n v="2"/>
    <x v="0"/>
    <s v="MB"/>
  </r>
  <r>
    <s v="TRX0164"/>
    <x v="113"/>
    <s v="CUST014"/>
    <s v="Linda Martin"/>
    <s v="P003"/>
    <s v="Headphones"/>
    <x v="0"/>
    <x v="2"/>
    <n v="149.99"/>
    <x v="3"/>
    <x v="3"/>
    <s v="Premium"/>
    <d v="2023-12-20T00:00:00"/>
    <x v="22"/>
    <s v="Dec-2024"/>
    <d v="2024-12-31T00:00:00"/>
    <n v="2"/>
    <x v="0"/>
    <s v="LM"/>
  </r>
  <r>
    <s v="TRX0008"/>
    <x v="113"/>
    <s v="CUST007"/>
    <s v="David Martinez"/>
    <s v="P008"/>
    <s v="Bookshelf"/>
    <x v="2"/>
    <x v="0"/>
    <n v="149.99"/>
    <x v="3"/>
    <x v="2"/>
    <s v="Standard"/>
    <d v="2021-11-22T00:00:00"/>
    <x v="6"/>
    <s v="Dec-2024"/>
    <d v="2024-12-31T00:00:00"/>
    <n v="4"/>
    <x v="0"/>
    <s v="DM"/>
  </r>
  <r>
    <s v="TRX0171"/>
    <x v="114"/>
    <s v="CUST021"/>
    <s v="Kevin Scott"/>
    <s v="P007"/>
    <s v="Desk"/>
    <x v="2"/>
    <x v="2"/>
    <n v="299.99"/>
    <x v="2"/>
    <x v="1"/>
    <s v="Basic"/>
    <d v="2022-06-09T00:00:00"/>
    <x v="31"/>
    <s v="Dec-2024"/>
    <d v="2024-12-31T00:00:00"/>
    <n v="4"/>
    <x v="0"/>
    <s v="KS"/>
  </r>
  <r>
    <s v="TRX0143"/>
    <x v="115"/>
    <s v="CUST003"/>
    <s v="Michael Brown"/>
    <s v="P007"/>
    <s v="Desk"/>
    <x v="2"/>
    <x v="2"/>
    <n v="299.99"/>
    <x v="0"/>
    <x v="3"/>
    <s v="Basic"/>
    <d v="2022-07-29T00:00:00"/>
    <x v="31"/>
    <s v="Dec-2024"/>
    <d v="2024-12-31T00:00:00"/>
    <n v="4"/>
    <x v="0"/>
    <s v="MB"/>
  </r>
  <r>
    <s v="TRX0165"/>
    <x v="115"/>
    <s v="CUST030"/>
    <s v="Helen Roberts"/>
    <s v="P006"/>
    <s v="Office Chair"/>
    <x v="2"/>
    <x v="4"/>
    <n v="199.99"/>
    <x v="1"/>
    <x v="0"/>
    <s v="Basic"/>
    <d v="2021-11-23T00:00:00"/>
    <x v="37"/>
    <s v="Dec-2024"/>
    <d v="2024-12-31T00:00:00"/>
    <n v="4"/>
    <x v="0"/>
    <s v="HR"/>
  </r>
  <r>
    <s v="TRX0156"/>
    <x v="116"/>
    <s v="CUST009"/>
    <s v="Robert Thomas"/>
    <s v="P010"/>
    <s v="Keyboard"/>
    <x v="0"/>
    <x v="3"/>
    <n v="89.99"/>
    <x v="1"/>
    <x v="1"/>
    <s v="Premium"/>
    <d v="2022-01-30T00:00:00"/>
    <x v="27"/>
    <s v="Dec-2024"/>
    <d v="2024-12-31T00:00:00"/>
    <n v="4"/>
    <x v="0"/>
    <s v="RT"/>
  </r>
  <r>
    <s v="TRX0147"/>
    <x v="116"/>
    <s v="CUST036"/>
    <s v="Nancy Collins"/>
    <s v="P008"/>
    <s v="Bookshelf"/>
    <x v="2"/>
    <x v="1"/>
    <n v="149.99"/>
    <x v="0"/>
    <x v="0"/>
    <s v="Premium"/>
    <d v="2024-02-25T00:00:00"/>
    <x v="2"/>
    <s v="Dec-2024"/>
    <d v="2024-12-31T00:00:00"/>
    <n v="2"/>
    <x v="0"/>
    <s v="NC"/>
  </r>
  <r>
    <s v="TRX0207"/>
    <x v="117"/>
    <s v="CUST025"/>
    <s v="Mark Carter"/>
    <s v="P001"/>
    <s v="Laptop"/>
    <x v="0"/>
    <x v="3"/>
    <n v="899.99"/>
    <x v="2"/>
    <x v="2"/>
    <s v="Premium"/>
    <d v="2023-05-04T00:00:00"/>
    <x v="8"/>
    <s v="Dec-2024"/>
    <d v="2024-12-31T00:00:00"/>
    <n v="3"/>
    <x v="0"/>
    <s v="MC"/>
  </r>
  <r>
    <s v="TRX0056"/>
    <x v="118"/>
    <s v="CUST019"/>
    <s v="Daniel King"/>
    <s v="P010"/>
    <s v="Keyboard"/>
    <x v="0"/>
    <x v="2"/>
    <n v="89.99"/>
    <x v="1"/>
    <x v="1"/>
    <s v="Premium"/>
    <d v="2022-01-03T00:00:00"/>
    <x v="28"/>
    <s v="Jan-2025"/>
    <d v="2025-01-31T00:00:00"/>
    <n v="4"/>
    <x v="0"/>
    <s v="DK"/>
  </r>
  <r>
    <s v="TRX0026"/>
    <x v="119"/>
    <s v="CUST037"/>
    <s v="Arthur Edwards"/>
    <s v="P001"/>
    <s v="Laptop"/>
    <x v="0"/>
    <x v="3"/>
    <n v="899.99"/>
    <x v="2"/>
    <x v="2"/>
    <s v="Standard"/>
    <d v="2022-07-10T00:00:00"/>
    <x v="8"/>
    <s v="Jan-2025"/>
    <d v="2025-01-31T00:00:00"/>
    <n v="4"/>
    <x v="0"/>
    <s v="AE"/>
  </r>
  <r>
    <s v="TRX0237"/>
    <x v="120"/>
    <s v="CUST006"/>
    <s v="Lisa Anderson"/>
    <s v="P003"/>
    <s v="Headphones"/>
    <x v="0"/>
    <x v="1"/>
    <n v="149.99"/>
    <x v="2"/>
    <x v="4"/>
    <s v="Premium"/>
    <d v="2022-09-20T00:00:00"/>
    <x v="2"/>
    <s v="Jan-2025"/>
    <d v="2025-01-31T00:00:00"/>
    <n v="3"/>
    <x v="0"/>
    <s v="LA"/>
  </r>
  <r>
    <s v="TRX0091"/>
    <x v="120"/>
    <s v="CUST003"/>
    <s v="Michael Brown"/>
    <s v="P007"/>
    <s v="Desk"/>
    <x v="2"/>
    <x v="0"/>
    <n v="299.99"/>
    <x v="0"/>
    <x v="1"/>
    <s v="Standard"/>
    <d v="2021-08-14T00:00:00"/>
    <x v="23"/>
    <s v="Jan-2025"/>
    <d v="2025-01-31T00:00:00"/>
    <n v="5"/>
    <x v="0"/>
    <s v="MB"/>
  </r>
  <r>
    <s v="TRX0125"/>
    <x v="121"/>
    <s v="CUST026"/>
    <s v="Karen Hill"/>
    <s v="P002"/>
    <s v="Smartphone"/>
    <x v="0"/>
    <x v="0"/>
    <n v="699.99"/>
    <x v="1"/>
    <x v="0"/>
    <s v="Premium"/>
    <d v="2023-06-28T00:00:00"/>
    <x v="7"/>
    <s v="Jan-2025"/>
    <d v="2025-01-31T00:00:00"/>
    <n v="3"/>
    <x v="0"/>
    <s v="KH"/>
  </r>
  <r>
    <s v="TRX0223"/>
    <x v="122"/>
    <s v="CUST036"/>
    <s v="Nancy Collins"/>
    <s v="P006"/>
    <s v="Office Chair"/>
    <x v="2"/>
    <x v="1"/>
    <n v="199.99"/>
    <x v="2"/>
    <x v="0"/>
    <s v="Standard"/>
    <d v="2022-03-13T00:00:00"/>
    <x v="21"/>
    <s v="Jan-2025"/>
    <d v="2025-01-31T00:00:00"/>
    <n v="4"/>
    <x v="0"/>
    <s v="NC"/>
  </r>
  <r>
    <s v="TRX0243"/>
    <x v="122"/>
    <s v="CUST048"/>
    <s v="Virginia Sanders"/>
    <s v="P009"/>
    <s v="Monitor"/>
    <x v="0"/>
    <x v="1"/>
    <n v="249.99"/>
    <x v="1"/>
    <x v="1"/>
    <s v="Basic"/>
    <d v="2024-02-08T00:00:00"/>
    <x v="16"/>
    <s v="Jan-2025"/>
    <d v="2025-01-31T00:00:00"/>
    <n v="2"/>
    <x v="0"/>
    <s v="VS"/>
  </r>
  <r>
    <s v="TRX0084"/>
    <x v="123"/>
    <s v="CUST031"/>
    <s v="Steven Turner"/>
    <s v="P003"/>
    <s v="Headphones"/>
    <x v="0"/>
    <x v="4"/>
    <n v="149.99"/>
    <x v="3"/>
    <x v="4"/>
    <s v="Standard"/>
    <d v="2021-12-06T00:00:00"/>
    <x v="9"/>
    <s v="Jan-2025"/>
    <d v="2025-01-31T00:00:00"/>
    <n v="4"/>
    <x v="0"/>
    <s v="ST"/>
  </r>
  <r>
    <s v="TRX0238"/>
    <x v="123"/>
    <s v="CUST038"/>
    <s v="Michelle Rogers"/>
    <s v="P002"/>
    <s v="Smartphone"/>
    <x v="0"/>
    <x v="0"/>
    <n v="699.99"/>
    <x v="0"/>
    <x v="2"/>
    <s v="Premium"/>
    <d v="2022-02-10T00:00:00"/>
    <x v="7"/>
    <s v="Jan-2025"/>
    <d v="2025-01-31T00:00:00"/>
    <n v="4"/>
    <x v="0"/>
    <s v="MR"/>
  </r>
  <r>
    <s v="TRX0102"/>
    <x v="124"/>
    <s v="CUST045"/>
    <s v="Douglas Watson"/>
    <s v="P004"/>
    <s v="Coffee Maker"/>
    <x v="1"/>
    <x v="3"/>
    <n v="79.989999999999995"/>
    <x v="1"/>
    <x v="1"/>
    <s v="Basic"/>
    <d v="2024-01-31T00:00:00"/>
    <x v="26"/>
    <s v="Jan-2025"/>
    <d v="2025-01-31T00:00:00"/>
    <n v="2"/>
    <x v="0"/>
    <s v="DW"/>
  </r>
  <r>
    <s v="TRX0022"/>
    <x v="124"/>
    <s v="CUST025"/>
    <s v="Mark Carter"/>
    <s v="P007"/>
    <s v="Desk"/>
    <x v="2"/>
    <x v="3"/>
    <n v="299.99"/>
    <x v="1"/>
    <x v="2"/>
    <s v="Basic"/>
    <d v="2021-08-28T00:00:00"/>
    <x v="34"/>
    <s v="Jan-2025"/>
    <d v="2025-01-31T00:00:00"/>
    <n v="5"/>
    <x v="0"/>
    <s v="MC"/>
  </r>
  <r>
    <s v="TRX0087"/>
    <x v="125"/>
    <s v="CUST028"/>
    <s v="Betty Campbell"/>
    <s v="P009"/>
    <s v="Monitor"/>
    <x v="0"/>
    <x v="4"/>
    <n v="249.99"/>
    <x v="1"/>
    <x v="2"/>
    <s v="Premium"/>
    <d v="2021-09-21T00:00:00"/>
    <x v="14"/>
    <s v="Jan-2025"/>
    <d v="2025-01-31T00:00:00"/>
    <n v="4"/>
    <x v="0"/>
    <s v="BC"/>
  </r>
  <r>
    <s v="TRX0107"/>
    <x v="125"/>
    <s v="CUST030"/>
    <s v="Helen Roberts"/>
    <s v="P003"/>
    <s v="Headphones"/>
    <x v="0"/>
    <x v="2"/>
    <n v="149.99"/>
    <x v="0"/>
    <x v="2"/>
    <s v="Standard"/>
    <d v="2022-12-18T00:00:00"/>
    <x v="22"/>
    <s v="Jan-2025"/>
    <d v="2025-01-31T00:00:00"/>
    <n v="3"/>
    <x v="0"/>
    <s v="HR"/>
  </r>
  <r>
    <s v="TRX0051"/>
    <x v="125"/>
    <s v="CUST032"/>
    <s v="Sandra Phillips"/>
    <s v="P007"/>
    <s v="Desk"/>
    <x v="2"/>
    <x v="0"/>
    <n v="299.99"/>
    <x v="1"/>
    <x v="1"/>
    <s v="Basic"/>
    <d v="2023-10-05T00:00:00"/>
    <x v="23"/>
    <s v="Jan-2025"/>
    <d v="2025-01-31T00:00:00"/>
    <n v="2"/>
    <x v="0"/>
    <s v="SP"/>
  </r>
  <r>
    <s v="TRX0106"/>
    <x v="126"/>
    <s v="CUST039"/>
    <s v="Lawrence Reed"/>
    <s v="P006"/>
    <s v="Office Chair"/>
    <x v="2"/>
    <x v="4"/>
    <n v="199.99"/>
    <x v="3"/>
    <x v="1"/>
    <s v="Standard"/>
    <d v="2021-12-14T00:00:00"/>
    <x v="37"/>
    <s v="Jan-2025"/>
    <d v="2025-01-31T00:00:00"/>
    <n v="4"/>
    <x v="0"/>
    <s v="LR"/>
  </r>
  <r>
    <s v="TRX0059"/>
    <x v="126"/>
    <s v="CUST016"/>
    <s v="Elizabeth Hall"/>
    <s v="P007"/>
    <s v="Desk"/>
    <x v="2"/>
    <x v="1"/>
    <n v="299.99"/>
    <x v="3"/>
    <x v="0"/>
    <s v="Basic"/>
    <d v="2021-08-23T00:00:00"/>
    <x v="17"/>
    <s v="Jan-2025"/>
    <d v="2025-01-31T00:00:00"/>
    <n v="5"/>
    <x v="0"/>
    <s v="EH"/>
  </r>
  <r>
    <s v="TRX0072"/>
    <x v="126"/>
    <s v="CUST009"/>
    <s v="Robert Thomas"/>
    <s v="P008"/>
    <s v="Bookshelf"/>
    <x v="2"/>
    <x v="0"/>
    <n v="149.99"/>
    <x v="1"/>
    <x v="4"/>
    <s v="Standard"/>
    <d v="2021-07-18T00:00:00"/>
    <x v="6"/>
    <s v="Jan-2025"/>
    <d v="2025-01-31T00:00:00"/>
    <n v="5"/>
    <x v="0"/>
    <s v="RT"/>
  </r>
  <r>
    <s v="TRX0110"/>
    <x v="127"/>
    <s v="CUST006"/>
    <s v="Lisa Anderson"/>
    <s v="P005"/>
    <s v="Blender"/>
    <x v="1"/>
    <x v="1"/>
    <n v="59.99"/>
    <x v="3"/>
    <x v="4"/>
    <s v="Basic"/>
    <d v="2022-03-22T00:00:00"/>
    <x v="42"/>
    <s v="Jan-2025"/>
    <d v="2025-01-31T00:00:00"/>
    <n v="4"/>
    <x v="0"/>
    <s v="LA"/>
  </r>
  <r>
    <s v="TRX0126"/>
    <x v="128"/>
    <s v="CUST022"/>
    <s v="Susan Green"/>
    <s v="P005"/>
    <s v="Blender"/>
    <x v="1"/>
    <x v="4"/>
    <n v="59.99"/>
    <x v="3"/>
    <x v="4"/>
    <s v="Standard"/>
    <d v="2022-01-03T00:00:00"/>
    <x v="20"/>
    <s v="Jan-2025"/>
    <d v="2025-01-31T00:00:00"/>
    <n v="4"/>
    <x v="0"/>
    <s v="SG"/>
  </r>
  <r>
    <s v="TRX0159"/>
    <x v="129"/>
    <s v="CUST024"/>
    <s v="Dorothy Nelson"/>
    <s v="P009"/>
    <s v="Monitor"/>
    <x v="0"/>
    <x v="4"/>
    <n v="249.99"/>
    <x v="3"/>
    <x v="0"/>
    <s v="Premium"/>
    <d v="2023-10-18T00:00:00"/>
    <x v="14"/>
    <s v="Jan-2025"/>
    <d v="2025-01-31T00:00:00"/>
    <n v="2"/>
    <x v="0"/>
    <s v="DN"/>
  </r>
  <r>
    <s v="TRX0030"/>
    <x v="130"/>
    <s v="CUST011"/>
    <s v="William White"/>
    <s v="P001"/>
    <s v="Laptop"/>
    <x v="0"/>
    <x v="4"/>
    <n v="899.99"/>
    <x v="2"/>
    <x v="0"/>
    <s v="Basic"/>
    <d v="2022-06-22T00:00:00"/>
    <x v="11"/>
    <s v="Jan-2025"/>
    <d v="2025-01-31T00:00:00"/>
    <n v="4"/>
    <x v="0"/>
    <s v="WW"/>
  </r>
  <r>
    <s v="TRX0178"/>
    <x v="130"/>
    <s v="CUST025"/>
    <s v="Mark Carter"/>
    <s v="P007"/>
    <s v="Desk"/>
    <x v="2"/>
    <x v="0"/>
    <n v="299.99"/>
    <x v="3"/>
    <x v="3"/>
    <s v="Standard"/>
    <d v="2023-01-26T00:00:00"/>
    <x v="23"/>
    <s v="Jan-2025"/>
    <d v="2025-01-31T00:00:00"/>
    <n v="3"/>
    <x v="0"/>
    <s v="MC"/>
  </r>
  <r>
    <s v="TRX0188"/>
    <x v="130"/>
    <s v="CUST045"/>
    <s v="Douglas Watson"/>
    <s v="P002"/>
    <s v="Smartphone"/>
    <x v="0"/>
    <x v="2"/>
    <n v="699.99"/>
    <x v="3"/>
    <x v="0"/>
    <s v="Premium"/>
    <d v="2022-04-30T00:00:00"/>
    <x v="10"/>
    <s v="Jan-2025"/>
    <d v="2025-01-31T00:00:00"/>
    <n v="4"/>
    <x v="0"/>
    <s v="DW"/>
  </r>
  <r>
    <s v="TRX0010"/>
    <x v="131"/>
    <s v="CUST026"/>
    <s v="Karen Hill"/>
    <s v="P002"/>
    <s v="Smartphone"/>
    <x v="0"/>
    <x v="4"/>
    <n v="699.99"/>
    <x v="3"/>
    <x v="3"/>
    <s v="Premium"/>
    <d v="2022-05-11T00:00:00"/>
    <x v="13"/>
    <s v="Jan-2025"/>
    <d v="2025-01-31T00:00:00"/>
    <n v="4"/>
    <x v="0"/>
    <s v="KH"/>
  </r>
  <r>
    <s v="TRX0069"/>
    <x v="131"/>
    <s v="CUST029"/>
    <s v="Edward Mitchell"/>
    <s v="P010"/>
    <s v="Keyboard"/>
    <x v="0"/>
    <x v="2"/>
    <n v="89.99"/>
    <x v="3"/>
    <x v="1"/>
    <s v="Basic"/>
    <d v="2022-08-04T00:00:00"/>
    <x v="28"/>
    <s v="Jan-2025"/>
    <d v="2025-01-31T00:00:00"/>
    <n v="4"/>
    <x v="0"/>
    <s v="EM"/>
  </r>
  <r>
    <s v="TRX0166"/>
    <x v="131"/>
    <s v="CUST003"/>
    <s v="Michael Brown"/>
    <s v="P010"/>
    <s v="Keyboard"/>
    <x v="0"/>
    <x v="0"/>
    <n v="89.99"/>
    <x v="3"/>
    <x v="1"/>
    <s v="Premium"/>
    <d v="2024-01-16T00:00:00"/>
    <x v="25"/>
    <s v="Jan-2025"/>
    <d v="2025-01-31T00:00:00"/>
    <n v="2"/>
    <x v="0"/>
    <s v="MB"/>
  </r>
  <r>
    <s v="TRX0219"/>
    <x v="132"/>
    <s v="CUST037"/>
    <s v="Arthur Edwards"/>
    <s v="P005"/>
    <s v="Blender"/>
    <x v="1"/>
    <x v="3"/>
    <n v="59.99"/>
    <x v="3"/>
    <x v="0"/>
    <s v="Standard"/>
    <d v="2023-04-29T00:00:00"/>
    <x v="30"/>
    <s v="Feb-2025"/>
    <d v="2025-02-28T00:00:00"/>
    <n v="3"/>
    <x v="0"/>
    <s v="AE"/>
  </r>
  <r>
    <s v="TRX0024"/>
    <x v="133"/>
    <s v="CUST042"/>
    <s v="Ruth Brooks"/>
    <s v="P008"/>
    <s v="Bookshelf"/>
    <x v="2"/>
    <x v="0"/>
    <n v="149.99"/>
    <x v="3"/>
    <x v="2"/>
    <s v="Premium"/>
    <d v="2022-01-03T00:00:00"/>
    <x v="6"/>
    <s v="Feb-2025"/>
    <d v="2025-02-28T00:00:00"/>
    <n v="4"/>
    <x v="0"/>
    <s v="RB"/>
  </r>
  <r>
    <s v="TRX0105"/>
    <x v="133"/>
    <s v="CUST048"/>
    <s v="Virginia Sanders"/>
    <s v="P007"/>
    <s v="Desk"/>
    <x v="2"/>
    <x v="1"/>
    <n v="299.99"/>
    <x v="1"/>
    <x v="1"/>
    <s v="Basic"/>
    <d v="2023-02-02T00:00:00"/>
    <x v="17"/>
    <s v="Feb-2025"/>
    <d v="2025-02-28T00:00:00"/>
    <n v="3"/>
    <x v="0"/>
    <s v="VS"/>
  </r>
  <r>
    <s v="TRX0011"/>
    <x v="134"/>
    <s v="CUST040"/>
    <s v="Sharon Butler"/>
    <s v="P005"/>
    <s v="Blender"/>
    <x v="1"/>
    <x v="1"/>
    <n v="59.99"/>
    <x v="3"/>
    <x v="0"/>
    <s v="Standard"/>
    <d v="2023-09-08T00:00:00"/>
    <x v="42"/>
    <s v="Feb-2025"/>
    <d v="2025-02-28T00:00:00"/>
    <n v="3"/>
    <x v="0"/>
    <s v="SB"/>
  </r>
  <r>
    <s v="TRX0187"/>
    <x v="135"/>
    <s v="CUST036"/>
    <s v="Nancy Collins"/>
    <s v="P004"/>
    <s v="Coffee Maker"/>
    <x v="1"/>
    <x v="0"/>
    <n v="79.989999999999995"/>
    <x v="0"/>
    <x v="4"/>
    <s v="Premium"/>
    <d v="2021-08-28T00:00:00"/>
    <x v="18"/>
    <s v="Feb-2025"/>
    <d v="2025-02-28T00:00:00"/>
    <n v="5"/>
    <x v="0"/>
    <s v="NC"/>
  </r>
  <r>
    <s v="TRX0089"/>
    <x v="136"/>
    <s v="CUST021"/>
    <s v="Kevin Scott"/>
    <s v="P006"/>
    <s v="Office Chair"/>
    <x v="2"/>
    <x v="0"/>
    <n v="199.99"/>
    <x v="0"/>
    <x v="0"/>
    <s v="Basic"/>
    <d v="2022-06-23T00:00:00"/>
    <x v="24"/>
    <s v="Feb-2025"/>
    <d v="2025-02-28T00:00:00"/>
    <n v="4"/>
    <x v="0"/>
    <s v="KS"/>
  </r>
  <r>
    <s v="TRX0196"/>
    <x v="136"/>
    <s v="CUST023"/>
    <s v="Paul Baker"/>
    <s v="P010"/>
    <s v="Keyboard"/>
    <x v="0"/>
    <x v="2"/>
    <n v="89.99"/>
    <x v="2"/>
    <x v="0"/>
    <s v="Basic"/>
    <d v="2023-11-27T00:00:00"/>
    <x v="28"/>
    <s v="Feb-2025"/>
    <d v="2025-02-28T00:00:00"/>
    <n v="2"/>
    <x v="0"/>
    <s v="PB"/>
  </r>
  <r>
    <s v="TRX0118"/>
    <x v="137"/>
    <s v="CUST015"/>
    <s v="Richard Lee"/>
    <s v="P008"/>
    <s v="Bookshelf"/>
    <x v="2"/>
    <x v="2"/>
    <n v="149.99"/>
    <x v="0"/>
    <x v="1"/>
    <s v="Premium"/>
    <d v="2022-06-16T00:00:00"/>
    <x v="22"/>
    <s v="Feb-2025"/>
    <d v="2025-02-28T00:00:00"/>
    <n v="4"/>
    <x v="0"/>
    <s v="RL"/>
  </r>
  <r>
    <s v="TRX0179"/>
    <x v="138"/>
    <s v="CUST029"/>
    <s v="Edward Mitchell"/>
    <s v="P002"/>
    <s v="Smartphone"/>
    <x v="0"/>
    <x v="1"/>
    <n v="699.99"/>
    <x v="2"/>
    <x v="1"/>
    <s v="Premium"/>
    <d v="2024-03-01T00:00:00"/>
    <x v="12"/>
    <s v="Feb-2025"/>
    <d v="2025-02-28T00:00:00"/>
    <n v="2"/>
    <x v="0"/>
    <s v="EM"/>
  </r>
  <r>
    <s v="TRX0168"/>
    <x v="138"/>
    <s v="CUST003"/>
    <s v="Michael Brown"/>
    <s v="P008"/>
    <s v="Bookshelf"/>
    <x v="2"/>
    <x v="0"/>
    <n v="149.99"/>
    <x v="2"/>
    <x v="0"/>
    <s v="Standard"/>
    <d v="2022-03-13T00:00:00"/>
    <x v="6"/>
    <s v="Feb-2025"/>
    <d v="2025-02-28T00:00:00"/>
    <n v="4"/>
    <x v="0"/>
    <s v="MB"/>
  </r>
  <r>
    <s v="TRX0214"/>
    <x v="139"/>
    <s v="CUST018"/>
    <s v="Barbara Young"/>
    <s v="P001"/>
    <s v="Laptop"/>
    <x v="0"/>
    <x v="0"/>
    <n v="899.99"/>
    <x v="0"/>
    <x v="4"/>
    <s v="Standard"/>
    <d v="2022-02-21T00:00:00"/>
    <x v="4"/>
    <s v="Feb-2025"/>
    <d v="2025-02-28T00:00:00"/>
    <n v="4"/>
    <x v="0"/>
    <s v="BY"/>
  </r>
  <r>
    <s v="TRX0221"/>
    <x v="139"/>
    <s v="CUST033"/>
    <s v="Frank Torres"/>
    <s v="P006"/>
    <s v="Office Chair"/>
    <x v="2"/>
    <x v="0"/>
    <n v="199.99"/>
    <x v="0"/>
    <x v="3"/>
    <s v="Premium"/>
    <d v="2022-09-19T00:00:00"/>
    <x v="24"/>
    <s v="Feb-2025"/>
    <d v="2025-02-28T00:00:00"/>
    <n v="3"/>
    <x v="0"/>
    <s v="FT"/>
  </r>
  <r>
    <s v="TRX0083"/>
    <x v="140"/>
    <s v="CUST017"/>
    <s v="Charles Allen"/>
    <s v="P007"/>
    <s v="Desk"/>
    <x v="2"/>
    <x v="1"/>
    <n v="299.99"/>
    <x v="0"/>
    <x v="3"/>
    <s v="Standard"/>
    <d v="2023-08-04T00:00:00"/>
    <x v="17"/>
    <s v="Feb-2025"/>
    <d v="2025-02-28T00:00:00"/>
    <n v="3"/>
    <x v="0"/>
    <s v="CA"/>
  </r>
  <r>
    <s v="TRX0151"/>
    <x v="140"/>
    <s v="CUST040"/>
    <s v="Sharon Butler"/>
    <s v="P002"/>
    <s v="Smartphone"/>
    <x v="0"/>
    <x v="3"/>
    <n v="699.99"/>
    <x v="2"/>
    <x v="3"/>
    <s v="Basic"/>
    <d v="2023-01-08T00:00:00"/>
    <x v="38"/>
    <s v="Feb-2025"/>
    <d v="2025-02-28T00:00:00"/>
    <n v="3"/>
    <x v="0"/>
    <s v="SB"/>
  </r>
  <r>
    <s v="TRX0047"/>
    <x v="141"/>
    <s v="CUST042"/>
    <s v="Ruth Brooks"/>
    <s v="P002"/>
    <s v="Smartphone"/>
    <x v="0"/>
    <x v="3"/>
    <n v="699.99"/>
    <x v="0"/>
    <x v="2"/>
    <s v="Premium"/>
    <d v="2022-01-22T00:00:00"/>
    <x v="38"/>
    <s v="Feb-2025"/>
    <d v="2025-02-28T00:00:00"/>
    <n v="4"/>
    <x v="0"/>
    <s v="RB"/>
  </r>
  <r>
    <s v="TRX0200"/>
    <x v="141"/>
    <s v="CUST037"/>
    <s v="Arthur Edwards"/>
    <s v="P008"/>
    <s v="Bookshelf"/>
    <x v="2"/>
    <x v="4"/>
    <n v="149.99"/>
    <x v="2"/>
    <x v="2"/>
    <s v="Premium"/>
    <d v="2021-08-04T00:00:00"/>
    <x v="9"/>
    <s v="Feb-2025"/>
    <d v="2025-02-28T00:00:00"/>
    <n v="5"/>
    <x v="0"/>
    <s v="AE"/>
  </r>
  <r>
    <s v="TRX0062"/>
    <x v="141"/>
    <s v="CUST016"/>
    <s v="Elizabeth Hall"/>
    <s v="P010"/>
    <s v="Keyboard"/>
    <x v="0"/>
    <x v="1"/>
    <n v="89.99"/>
    <x v="2"/>
    <x v="3"/>
    <s v="Premium"/>
    <d v="2023-08-02T00:00:00"/>
    <x v="19"/>
    <s v="Feb-2025"/>
    <d v="2025-02-28T00:00:00"/>
    <n v="3"/>
    <x v="0"/>
    <s v="EH"/>
  </r>
  <r>
    <s v="TRX0182"/>
    <x v="142"/>
    <s v="CUST031"/>
    <s v="Steven Turner"/>
    <s v="P006"/>
    <s v="Office Chair"/>
    <x v="2"/>
    <x v="2"/>
    <n v="199.99"/>
    <x v="0"/>
    <x v="0"/>
    <s v="Premium"/>
    <d v="2022-01-12T00:00:00"/>
    <x v="35"/>
    <s v="Feb-2025"/>
    <d v="2025-02-28T00:00:00"/>
    <n v="4"/>
    <x v="0"/>
    <s v="ST"/>
  </r>
  <r>
    <s v="TRX0229"/>
    <x v="143"/>
    <s v="CUST015"/>
    <s v="Richard Lee"/>
    <s v="P005"/>
    <s v="Blender"/>
    <x v="1"/>
    <x v="4"/>
    <n v="59.99"/>
    <x v="0"/>
    <x v="3"/>
    <s v="Standard"/>
    <d v="2023-05-24T00:00:00"/>
    <x v="20"/>
    <s v="Feb-2025"/>
    <d v="2025-02-28T00:00:00"/>
    <n v="3"/>
    <x v="0"/>
    <s v="RL"/>
  </r>
  <r>
    <s v="TRX0048"/>
    <x v="143"/>
    <s v="CUST048"/>
    <s v="Virginia Sanders"/>
    <s v="P007"/>
    <s v="Desk"/>
    <x v="2"/>
    <x v="2"/>
    <n v="299.99"/>
    <x v="2"/>
    <x v="1"/>
    <s v="Basic"/>
    <d v="2022-01-15T00:00:00"/>
    <x v="31"/>
    <s v="Feb-2025"/>
    <d v="2025-02-28T00:00:00"/>
    <n v="4"/>
    <x v="0"/>
    <s v="VS"/>
  </r>
  <r>
    <s v="TRX0227"/>
    <x v="144"/>
    <s v="CUST017"/>
    <s v="Charles Allen"/>
    <s v="P008"/>
    <s v="Bookshelf"/>
    <x v="2"/>
    <x v="2"/>
    <n v="149.99"/>
    <x v="0"/>
    <x v="0"/>
    <s v="Basic"/>
    <d v="2023-05-22T00:00:00"/>
    <x v="22"/>
    <s v="Mar-2025"/>
    <d v="2025-03-31T00:00:00"/>
    <n v="3"/>
    <x v="0"/>
    <s v="CA"/>
  </r>
  <r>
    <s v="TRX0226"/>
    <x v="145"/>
    <s v="CUST039"/>
    <s v="Lawrence Reed"/>
    <s v="P002"/>
    <s v="Smartphone"/>
    <x v="0"/>
    <x v="1"/>
    <n v="699.99"/>
    <x v="3"/>
    <x v="4"/>
    <s v="Premium"/>
    <d v="2023-08-23T00:00:00"/>
    <x v="12"/>
    <s v="Mar-2025"/>
    <d v="2025-03-31T00:00:00"/>
    <n v="3"/>
    <x v="0"/>
    <s v="LR"/>
  </r>
  <r>
    <s v="TRX0053"/>
    <x v="146"/>
    <s v="CUST043"/>
    <s v="Dennis Gray"/>
    <s v="P005"/>
    <s v="Blender"/>
    <x v="1"/>
    <x v="1"/>
    <n v="59.99"/>
    <x v="0"/>
    <x v="3"/>
    <s v="Premium"/>
    <d v="2023-12-31T00:00:00"/>
    <x v="42"/>
    <s v="Mar-2025"/>
    <d v="2025-03-31T00:00:00"/>
    <n v="2"/>
    <x v="0"/>
    <s v="DG"/>
  </r>
  <r>
    <s v="TRX0233"/>
    <x v="147"/>
    <s v="CUST023"/>
    <s v="Paul Baker"/>
    <s v="P010"/>
    <s v="Keyboard"/>
    <x v="0"/>
    <x v="2"/>
    <n v="89.99"/>
    <x v="1"/>
    <x v="3"/>
    <s v="Premium"/>
    <d v="2024-01-04T00:00:00"/>
    <x v="28"/>
    <s v="Mar-2025"/>
    <d v="2025-03-31T00:00:00"/>
    <n v="2"/>
    <x v="0"/>
    <s v="PB"/>
  </r>
  <r>
    <s v="TRX0175"/>
    <x v="147"/>
    <s v="CUST030"/>
    <s v="Helen Roberts"/>
    <s v="P009"/>
    <s v="Monitor"/>
    <x v="0"/>
    <x v="1"/>
    <n v="249.99"/>
    <x v="0"/>
    <x v="4"/>
    <s v="Standard"/>
    <d v="2021-12-10T00:00:00"/>
    <x v="16"/>
    <s v="Mar-2025"/>
    <d v="2025-03-31T00:00:00"/>
    <n v="4"/>
    <x v="0"/>
    <s v="HR"/>
  </r>
  <r>
    <s v="TRX0186"/>
    <x v="148"/>
    <s v="CUST039"/>
    <s v="Lawrence Reed"/>
    <s v="P008"/>
    <s v="Bookshelf"/>
    <x v="2"/>
    <x v="2"/>
    <n v="149.99"/>
    <x v="2"/>
    <x v="0"/>
    <s v="Premium"/>
    <d v="2022-03-12T00:00:00"/>
    <x v="22"/>
    <s v="Mar-2025"/>
    <d v="2025-03-31T00:00:00"/>
    <n v="4"/>
    <x v="0"/>
    <s v="LR"/>
  </r>
  <r>
    <s v="TRX0016"/>
    <x v="148"/>
    <s v="CUST035"/>
    <s v="Harry Morgan"/>
    <s v="P001"/>
    <s v="Laptop"/>
    <x v="0"/>
    <x v="1"/>
    <n v="899.99"/>
    <x v="2"/>
    <x v="4"/>
    <s v="Premium"/>
    <d v="2024-04-07T00:00:00"/>
    <x v="29"/>
    <s v="Mar-2025"/>
    <d v="2025-03-31T00:00:00"/>
    <n v="2"/>
    <x v="0"/>
    <s v="HM"/>
  </r>
  <r>
    <s v="TRX0199"/>
    <x v="148"/>
    <s v="CUST017"/>
    <s v="Charles Allen"/>
    <s v="P008"/>
    <s v="Bookshelf"/>
    <x v="2"/>
    <x v="4"/>
    <n v="149.99"/>
    <x v="0"/>
    <x v="0"/>
    <s v="Standard"/>
    <d v="2023-12-03T00:00:00"/>
    <x v="9"/>
    <s v="Mar-2025"/>
    <d v="2025-03-31T00:00:00"/>
    <n v="2"/>
    <x v="0"/>
    <s v="CA"/>
  </r>
  <r>
    <s v="TRX0038"/>
    <x v="149"/>
    <s v="CUST035"/>
    <s v="Harry Morgan"/>
    <s v="P009"/>
    <s v="Monitor"/>
    <x v="0"/>
    <x v="3"/>
    <n v="249.99"/>
    <x v="0"/>
    <x v="2"/>
    <s v="Standard"/>
    <d v="2023-07-10T00:00:00"/>
    <x v="39"/>
    <s v="Mar-2025"/>
    <d v="2025-03-31T00:00:00"/>
    <n v="3"/>
    <x v="0"/>
    <s v="HM"/>
  </r>
  <r>
    <s v="TRX0014"/>
    <x v="150"/>
    <s v="CUST033"/>
    <s v="Frank Torres"/>
    <s v="P005"/>
    <s v="Blender"/>
    <x v="1"/>
    <x v="2"/>
    <n v="59.99"/>
    <x v="1"/>
    <x v="3"/>
    <s v="Basic"/>
    <d v="2023-09-24T00:00:00"/>
    <x v="3"/>
    <s v="Mar-2025"/>
    <d v="2025-03-31T00:00:00"/>
    <n v="2"/>
    <x v="0"/>
    <s v="FT"/>
  </r>
  <r>
    <s v="TRX0003"/>
    <x v="151"/>
    <s v="CUST002"/>
    <s v="Emma Wilson"/>
    <s v="P008"/>
    <s v="Bookshelf"/>
    <x v="2"/>
    <x v="2"/>
    <n v="149.99"/>
    <x v="0"/>
    <x v="3"/>
    <s v="Premium"/>
    <d v="2023-11-03T00:00:00"/>
    <x v="22"/>
    <s v="Mar-2025"/>
    <d v="2025-03-31T00:00:00"/>
    <n v="2"/>
    <x v="0"/>
    <s v="EW"/>
  </r>
  <r>
    <s v="TRX0124"/>
    <x v="151"/>
    <s v="CUST040"/>
    <s v="Sharon Butler"/>
    <s v="P001"/>
    <s v="Laptop"/>
    <x v="0"/>
    <x v="0"/>
    <n v="899.99"/>
    <x v="3"/>
    <x v="2"/>
    <s v="Premium"/>
    <d v="2022-11-11T00:00:00"/>
    <x v="4"/>
    <s v="Mar-2025"/>
    <d v="2025-03-31T00:00:00"/>
    <n v="3"/>
    <x v="0"/>
    <s v="SB"/>
  </r>
  <r>
    <s v="TRX0013"/>
    <x v="151"/>
    <s v="CUST024"/>
    <s v="Dorothy Nelson"/>
    <s v="P001"/>
    <s v="Laptop"/>
    <x v="0"/>
    <x v="0"/>
    <n v="899.99"/>
    <x v="2"/>
    <x v="2"/>
    <s v="Basic"/>
    <d v="2023-02-18T00:00:00"/>
    <x v="4"/>
    <s v="Mar-2025"/>
    <d v="2025-03-31T00:00:00"/>
    <n v="3"/>
    <x v="0"/>
    <s v="DN"/>
  </r>
  <r>
    <s v="TRX0019"/>
    <x v="152"/>
    <s v="CUST023"/>
    <s v="Paul Baker"/>
    <s v="P007"/>
    <s v="Desk"/>
    <x v="2"/>
    <x v="0"/>
    <n v="299.99"/>
    <x v="1"/>
    <x v="3"/>
    <s v="Premium"/>
    <d v="2023-11-04T00:00:00"/>
    <x v="23"/>
    <s v="Mar-2025"/>
    <d v="2025-03-31T00:00:00"/>
    <n v="2"/>
    <x v="0"/>
    <s v="PB"/>
  </r>
  <r>
    <s v="TRX0050"/>
    <x v="153"/>
    <s v="CUST001"/>
    <s v="John Smith"/>
    <s v="P008"/>
    <s v="Bookshelf"/>
    <x v="2"/>
    <x v="4"/>
    <n v="149.99"/>
    <x v="2"/>
    <x v="3"/>
    <s v="Standard"/>
    <d v="2021-12-30T00:00:00"/>
    <x v="9"/>
    <s v="Mar-2025"/>
    <d v="2025-03-31T00:00:00"/>
    <n v="4"/>
    <x v="0"/>
    <s v="JS"/>
  </r>
  <r>
    <s v="TRX0152"/>
    <x v="154"/>
    <s v="CUST044"/>
    <s v="Cynthia Price"/>
    <s v="P004"/>
    <s v="Coffee Maker"/>
    <x v="1"/>
    <x v="4"/>
    <n v="79.989999999999995"/>
    <x v="1"/>
    <x v="0"/>
    <s v="Basic"/>
    <d v="2023-12-28T00:00:00"/>
    <x v="40"/>
    <s v="Mar-2025"/>
    <d v="2025-03-31T00:00:00"/>
    <n v="2"/>
    <x v="0"/>
    <s v="CP"/>
  </r>
  <r>
    <s v="TRX0213"/>
    <x v="155"/>
    <s v="CUST020"/>
    <s v="Margaret Wright"/>
    <s v="P010"/>
    <s v="Keyboard"/>
    <x v="0"/>
    <x v="1"/>
    <n v="89.99"/>
    <x v="2"/>
    <x v="1"/>
    <s v="Basic"/>
    <d v="2022-05-23T00:00:00"/>
    <x v="19"/>
    <s v="Mar-2025"/>
    <d v="2025-03-31T00:00:00"/>
    <n v="4"/>
    <x v="0"/>
    <s v="MW"/>
  </r>
  <r>
    <s v="TRX0197"/>
    <x v="156"/>
    <s v="CUST048"/>
    <s v="Virginia Sanders"/>
    <s v="P008"/>
    <s v="Bookshelf"/>
    <x v="2"/>
    <x v="0"/>
    <n v="149.99"/>
    <x v="2"/>
    <x v="0"/>
    <s v="Standard"/>
    <d v="2023-09-02T00:00:00"/>
    <x v="6"/>
    <s v="Mar-2025"/>
    <d v="2025-03-31T00:00:00"/>
    <n v="3"/>
    <x v="0"/>
    <s v="VS"/>
  </r>
  <r>
    <s v="TRX0250"/>
    <x v="156"/>
    <s v="CUST026"/>
    <s v="Karen Hill"/>
    <s v="P010"/>
    <s v="Keyboard"/>
    <x v="0"/>
    <x v="2"/>
    <n v="89.99"/>
    <x v="3"/>
    <x v="3"/>
    <s v="Premium"/>
    <d v="2021-11-22T00:00:00"/>
    <x v="28"/>
    <s v="Mar-2025"/>
    <d v="2025-03-31T00:00:00"/>
    <n v="4"/>
    <x v="0"/>
    <s v="KH"/>
  </r>
  <r>
    <s v="TRX0068"/>
    <x v="157"/>
    <s v="CUST044"/>
    <s v="Cynthia Price"/>
    <s v="P002"/>
    <s v="Smartphone"/>
    <x v="0"/>
    <x v="2"/>
    <n v="699.99"/>
    <x v="2"/>
    <x v="2"/>
    <s v="Standard"/>
    <d v="2022-02-26T00:00:00"/>
    <x v="10"/>
    <s v="Apr-2025"/>
    <d v="2025-04-30T00:00:00"/>
    <n v="4"/>
    <x v="0"/>
    <s v="CP"/>
  </r>
  <r>
    <s v="TRX0144"/>
    <x v="158"/>
    <s v="CUST029"/>
    <s v="Edward Mitchell"/>
    <s v="P001"/>
    <s v="Laptop"/>
    <x v="0"/>
    <x v="0"/>
    <n v="899.99"/>
    <x v="0"/>
    <x v="0"/>
    <s v="Standard"/>
    <d v="2023-01-27T00:00:00"/>
    <x v="4"/>
    <s v="Apr-2025"/>
    <d v="2025-04-30T00:00:00"/>
    <n v="3"/>
    <x v="0"/>
    <s v="EM"/>
  </r>
  <r>
    <s v="TRX0039"/>
    <x v="159"/>
    <s v="CUST048"/>
    <s v="Virginia Sanders"/>
    <s v="P004"/>
    <s v="Coffee Maker"/>
    <x v="1"/>
    <x v="0"/>
    <n v="79.989999999999995"/>
    <x v="1"/>
    <x v="2"/>
    <s v="Basic"/>
    <d v="2021-11-11T00:00:00"/>
    <x v="18"/>
    <s v="Apr-2025"/>
    <d v="2025-04-30T00:00:00"/>
    <n v="4"/>
    <x v="0"/>
    <s v="VS"/>
  </r>
  <r>
    <s v="TRX0116"/>
    <x v="160"/>
    <s v="CUST009"/>
    <s v="Robert Thomas"/>
    <s v="P010"/>
    <s v="Keyboard"/>
    <x v="0"/>
    <x v="3"/>
    <n v="89.99"/>
    <x v="3"/>
    <x v="4"/>
    <s v="Basic"/>
    <d v="2024-02-24T00:00:00"/>
    <x v="27"/>
    <s v="Apr-2025"/>
    <d v="2025-04-30T00:00:00"/>
    <n v="2"/>
    <x v="0"/>
    <s v="RT"/>
  </r>
  <r>
    <s v="TRX0120"/>
    <x v="161"/>
    <s v="CUST045"/>
    <s v="Douglas Watson"/>
    <s v="P002"/>
    <s v="Smartphone"/>
    <x v="0"/>
    <x v="0"/>
    <n v="699.99"/>
    <x v="2"/>
    <x v="2"/>
    <s v="Basic"/>
    <d v="2022-12-14T00:00:00"/>
    <x v="7"/>
    <s v="Apr-2025"/>
    <d v="2025-04-30T00:00:00"/>
    <n v="3"/>
    <x v="0"/>
    <s v="DW"/>
  </r>
  <r>
    <s v="TRX0103"/>
    <x v="161"/>
    <s v="CUST039"/>
    <s v="Lawrence Reed"/>
    <s v="P010"/>
    <s v="Keyboard"/>
    <x v="0"/>
    <x v="2"/>
    <n v="89.99"/>
    <x v="3"/>
    <x v="4"/>
    <s v="Basic"/>
    <d v="2023-06-11T00:00:00"/>
    <x v="28"/>
    <s v="Apr-2025"/>
    <d v="2025-04-30T00:00:00"/>
    <n v="3"/>
    <x v="0"/>
    <s v="LR"/>
  </r>
  <r>
    <s v="TRX0064"/>
    <x v="161"/>
    <s v="CUST031"/>
    <s v="Steven Turner"/>
    <s v="P010"/>
    <s v="Keyboard"/>
    <x v="0"/>
    <x v="0"/>
    <n v="89.99"/>
    <x v="3"/>
    <x v="2"/>
    <s v="Premium"/>
    <d v="2022-11-13T00:00:00"/>
    <x v="25"/>
    <s v="Apr-2025"/>
    <d v="2025-04-30T00:00:00"/>
    <n v="3"/>
    <x v="0"/>
    <s v="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7B2F6-F707-4800-8E4F-F238968610F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2">
    <pivotField showAll="0"/>
    <pivotField numFmtId="168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69" showAll="0"/>
    <pivotField showAll="0"/>
    <pivotField showAll="0"/>
    <pivotField showAll="0"/>
    <pivotField numFmtId="168" showAll="0"/>
    <pivotField showAll="0"/>
    <pivotField showAll="0"/>
    <pivotField numFmtId="168" showAll="0"/>
    <pivotField showAll="0"/>
    <pivotField numFmtId="170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3">
    <field x="21"/>
    <field x="20"/>
    <field x="19"/>
  </rowFields>
  <rowItems count="3">
    <i>
      <x v="1"/>
    </i>
    <i>
      <x v="2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45402-DC69-4991-8A45-B48850E7D0BA}" name="PivotTable2" cacheId="1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C6" firstHeaderRow="0" firstDataRow="1" firstDataCol="1"/>
  <pivotFields count="22">
    <pivotField showAll="0"/>
    <pivotField axis="axisRow" numFmtId="168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>
      <items count="6">
        <item x="3"/>
        <item x="2"/>
        <item x="0"/>
        <item x="4"/>
        <item x="1"/>
        <item t="default"/>
      </items>
    </pivotField>
    <pivotField dataField="1" numFmtId="169" showAll="0"/>
    <pivotField axis="axisRow" showAll="0">
      <items count="5">
        <item x="0"/>
        <item x="1"/>
        <item x="3"/>
        <item x="2"/>
        <item t="default"/>
      </items>
    </pivotField>
    <pivotField showAll="0">
      <items count="6">
        <item x="0"/>
        <item x="4"/>
        <item x="2"/>
        <item x="1"/>
        <item x="3"/>
        <item t="default"/>
      </items>
    </pivotField>
    <pivotField showAll="0"/>
    <pivotField numFmtId="168" showAll="0"/>
    <pivotField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  <pivotField showAll="0"/>
    <pivotField numFmtId="168" showAll="0"/>
    <pivotField showAll="0"/>
    <pivotField numFmtId="170" showAll="0">
      <items count="2">
        <item x="0"/>
        <item t="default"/>
      </items>
    </pivotField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6">
    <field x="21"/>
    <field x="20"/>
    <field x="19"/>
    <field x="1"/>
    <field x="6"/>
    <field x="9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7" baseField="0" baseItem="0"/>
    <dataField name="Sum of Unit_Price" fld="8" baseField="0" baseItem="0" numFmtId="169"/>
  </dataFields>
  <pivotTableStyleInfo name="PivotStyleLight16" showRowHeaders="1" showColHeaders="1" showRowStripes="0" showColStripes="0" showLastColumn="1"/>
  <filters count="2">
    <filter fld="1" type="dateBetween" evalOrder="-1" id="12" name="Date">
      <autoFilter ref="A1">
        <filterColumn colId="0">
          <customFilters and="1">
            <customFilter operator="greaterThanOrEqual" val="45292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7" type="dateBetween" evalOrder="-1" id="2" name="Timestamp">
      <autoFilter ref="A1">
        <filterColumn colId="0">
          <customFilters and="1">
            <customFilter operator="greaterThanOrEqual" val="46235"/>
            <customFilter operator="lessThanOrEqual" val="463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B9905-BF89-4C28-ADB2-08934D099CB7}" name="Table1" displayName="Table1" ref="A1:N251" totalsRowShown="0" headerRowDxfId="55" dataDxfId="56" headerRowBorderDxfId="127" tableBorderDxfId="128" totalsRowBorderDxfId="126">
  <autoFilter ref="A1:N251" xr:uid="{12CB9905-BF89-4C28-ADB2-08934D099CB7}"/>
  <tableColumns count="14">
    <tableColumn id="1" xr3:uid="{67B0E10D-BF86-49CE-9162-5C67AB04C49A}" name="Transaction_ID" dataDxfId="70"/>
    <tableColumn id="2" xr3:uid="{B78F5882-788C-4567-97E2-8037D3DC9EB4}" name="Date" dataDxfId="69"/>
    <tableColumn id="3" xr3:uid="{FD63630D-2984-4B76-8B8D-06D6A3ED1A9B}" name="Customer_ID" dataDxfId="68"/>
    <tableColumn id="4" xr3:uid="{63FF5747-7B50-4A57-8D5A-73ACE5AAED73}" name="Customer_Name" dataDxfId="67"/>
    <tableColumn id="5" xr3:uid="{1F9D5B87-3AAC-4561-BEE8-41FC79E8FA16}" name="Product_ID" dataDxfId="66"/>
    <tableColumn id="6" xr3:uid="{D1A34372-6425-416D-B515-D55B652FB09F}" name="Product_Name" dataDxfId="65"/>
    <tableColumn id="7" xr3:uid="{4C2B936F-E28F-4CF1-93C5-4C5174496060}" name="Category" dataDxfId="64"/>
    <tableColumn id="8" xr3:uid="{930526D4-C904-4082-B008-505EEFCC4FF7}" name="Quantity" dataDxfId="63"/>
    <tableColumn id="9" xr3:uid="{74B1DCD8-0819-4F6A-9A16-E3C7BA757FFA}" name="Unit_Price" dataDxfId="62"/>
    <tableColumn id="10" xr3:uid="{8E38C69D-090C-487D-A241-E8238F3DD4D1}" name="Payment_Method" dataDxfId="61"/>
    <tableColumn id="11" xr3:uid="{F5235B9B-92BC-4A42-A4DA-F6B94D2F0D49}" name="Region" dataDxfId="60"/>
    <tableColumn id="12" xr3:uid="{96F6DA0E-7548-4FC6-A35A-57E6E51785BB}" name="Customer_Segment" dataDxfId="59"/>
    <tableColumn id="13" xr3:uid="{5E76FB20-7F23-4842-AD4E-2DE71498B718}" name="Customer_Since" dataDxfId="58"/>
    <tableColumn id="14" xr3:uid="{CC954452-56C3-457C-AEB2-FF3269412916}" name="Total_Amount" dataDxfId="57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C54423-36AB-4343-9BAB-7A1C47BABAE8}" name="Table3" displayName="Table3" ref="A1:S251" totalsRowShown="0" headerRowDxfId="105" dataDxfId="104" headerRowBorderDxfId="125">
  <autoFilter ref="A1:S251" xr:uid="{5FC54423-36AB-4343-9BAB-7A1C47BABAE8}"/>
  <tableColumns count="19">
    <tableColumn id="1" xr3:uid="{7976F755-100E-4C92-9DED-9F950A86E167}" name="Transaction_ID" dataDxfId="124"/>
    <tableColumn id="2" xr3:uid="{D1CA63F2-F6B0-480E-8A7C-F3E5EBC5EBFC}" name="Date" dataDxfId="123"/>
    <tableColumn id="3" xr3:uid="{A1A7F281-9F6F-42F0-BBAC-AF66B49C71F7}" name="Customer_ID" dataDxfId="122"/>
    <tableColumn id="4" xr3:uid="{506F71A7-9924-480B-A125-8A4969F2BE1D}" name="Customer_Name" dataDxfId="121"/>
    <tableColumn id="5" xr3:uid="{B6D56E1F-5C34-47DB-B728-EA12C0C42713}" name="Product_ID" dataDxfId="120"/>
    <tableColumn id="6" xr3:uid="{FCC167D2-B886-4986-BFFF-6DBFA5262BF0}" name="Product_Name" dataDxfId="119"/>
    <tableColumn id="7" xr3:uid="{7595D745-9CBC-4B53-8688-7B57061F34C5}" name="Category" dataDxfId="118"/>
    <tableColumn id="8" xr3:uid="{EA8D12D8-6A69-42D7-A281-4AAF279FF85A}" name="Quantity" dataDxfId="117"/>
    <tableColumn id="9" xr3:uid="{E499219E-DB49-4181-86FD-90B4867A8D2A}" name="Unit_Price" dataDxfId="116"/>
    <tableColumn id="10" xr3:uid="{CC4D9DE7-05CE-4DDD-BA37-8E9D16CEA28E}" name="Payment_Method" dataDxfId="115"/>
    <tableColumn id="11" xr3:uid="{E14CABEA-6578-483B-82E6-2E107E2F3692}" name="Region" dataDxfId="114"/>
    <tableColumn id="12" xr3:uid="{5A73898A-2E02-4289-BCF0-104ADADEE453}" name="Customer_Segment" dataDxfId="113"/>
    <tableColumn id="13" xr3:uid="{1828AF6A-9411-42B9-A7CD-8691939F7A62}" name="Customer_Since" dataDxfId="112"/>
    <tableColumn id="14" xr3:uid="{F72674E3-9C1D-470C-A6A2-1E48BA45B487}" name="Total_Amount" dataDxfId="111" dataCellStyle="Normal"/>
    <tableColumn id="15" xr3:uid="{50F51D73-B601-41BB-9D52-11080055B8C2}" name="Order_Month" dataDxfId="110">
      <calculatedColumnFormula>TEXT(B2,"mmm-yyyy")</calculatedColumnFormula>
    </tableColumn>
    <tableColumn id="16" xr3:uid="{231F8E1C-D3C9-4D26-8717-6A8334D146C4}" name="Month_End" dataDxfId="109">
      <calculatedColumnFormula>EOMONTH(B2,0)</calculatedColumnFormula>
    </tableColumn>
    <tableColumn id="17" xr3:uid="{D8CA609A-51D1-4B88-8555-177C8A637591}" name="Customer_Tenure_Years" dataDxfId="108">
      <calculatedColumnFormula>DATEDIF(M2,TODAY(),"y")</calculatedColumnFormula>
    </tableColumn>
    <tableColumn id="18" xr3:uid="{23719869-36F7-4460-B4DC-3AD410F906F9}" name="Timestamp" dataDxfId="107">
      <calculatedColumnFormula>NOW()</calculatedColumnFormula>
    </tableColumn>
    <tableColumn id="19" xr3:uid="{207A3B0B-151B-474A-A6A5-B368C3C00E17}" name="Name_Abbrev" dataDxfId="106">
      <calculatedColumnFormula>UPPER(LEFT(D2,1)&amp;LEFT(RIGHT(D2,LEN(D2)-FIND(" ",D2)),1))</calculatedColumn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67EFB2-F2E2-46D7-9611-C823051C20E0}" name="Table4" displayName="Table4" ref="A3:H53" totalsRowShown="0" headerRowDxfId="94" dataDxfId="93" headerRowBorderDxfId="103">
  <autoFilter ref="A3:H53" xr:uid="{1B67EFB2-F2E2-46D7-9611-C823051C20E0}"/>
  <tableColumns count="8">
    <tableColumn id="1" xr3:uid="{BE92759B-E1B5-4F6A-BF74-568ABF5CFA28}" name="Customer_ID" dataDxfId="102"/>
    <tableColumn id="2" xr3:uid="{9172A322-B20B-4E76-B4CE-60C60FB0C3AF}" name="Customer_Name" dataDxfId="101"/>
    <tableColumn id="3" xr3:uid="{B5E63393-0B53-40BC-8D52-5A0A382FF636}" name="Orders" dataDxfId="100"/>
    <tableColumn id="4" xr3:uid="{214C1681-29F7-4BFA-AA5A-11D683E31D13}" name="Units" dataDxfId="99"/>
    <tableColumn id="5" xr3:uid="{599E5E2A-7669-4407-81B8-1ED1D08E0F48}" name="Total Purchase" dataDxfId="98"/>
    <tableColumn id="6" xr3:uid="{71E385F5-7364-42D2-94EE-35B2409FA808}" name="Rank" dataDxfId="97">
      <calculatedColumnFormula>RANK(E4,$E$4:$E$53,0)</calculatedColumnFormula>
    </tableColumn>
    <tableColumn id="7" xr3:uid="{60372A0E-7AE9-4130-B4B9-D76AE618DC6F}" name="High Value?" dataDxfId="96">
      <calculatedColumnFormula>IF(F4&lt;=10,"Top 10","Standard")</calculatedColumnFormula>
    </tableColumn>
    <tableColumn id="8" xr3:uid="{E47C4AA7-45DB-4A9C-AA96-7F7370639E31}" name="Avg Order" dataDxfId="95">
      <calculatedColumnFormula>IFERROR(E4/C4,0)</calculatedColumnFormula>
    </tableColumn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E7E29D-F5FE-4BAE-B503-F12E1728C4A1}" name="Table5" displayName="Table5" ref="J3:M13" totalsRowShown="0" headerRowDxfId="86" dataDxfId="87" headerRowBorderDxfId="92">
  <autoFilter ref="J3:M13" xr:uid="{26E7E29D-F5FE-4BAE-B503-F12E1728C4A1}"/>
  <tableColumns count="4">
    <tableColumn id="1" xr3:uid="{0CDB6DE4-D60E-4CD6-9186-7E99A6CF69EC}" name="Rank" dataDxfId="91"/>
    <tableColumn id="2" xr3:uid="{F92D0052-DA89-4EE5-97AC-91759814E5C5}" name="Customer_ID" dataDxfId="90">
      <calculatedColumnFormula>_xlfn.SINGLE(INDEX($A$4:$A$53,MATCH(M4,$E$4:$E$53,0)))</calculatedColumnFormula>
    </tableColumn>
    <tableColumn id="3" xr3:uid="{C1D101A2-E201-4C6F-8515-BF112429C8C0}" name="Customer_Name" dataDxfId="89">
      <calculatedColumnFormula>_xlfn.SINGLE(INDEX($B$4:$B$53,MATCH(M4,$E$4:$E$53,0)))</calculatedColumnFormula>
    </tableColumn>
    <tableColumn id="4" xr3:uid="{E3756F15-A060-475B-BCDC-B08C9C8A8DE3}" name="Total Purchase" dataDxfId="88">
      <calculatedColumnFormula>LARGE($E$4:$E$53,J4)</calculatedColumnFormula>
    </tableColumn>
  </tableColumns>
  <tableStyleInfo name="TableStyleLight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3FF3BF-F635-487B-9D1A-9CFA9DEC25EA}" name="Table6" displayName="Table6" ref="J17:M37" totalsRowShown="0" headerRowDxfId="79" dataDxfId="80" headerRowBorderDxfId="85">
  <autoFilter ref="J17:M37" xr:uid="{6A3FF3BF-F635-487B-9D1A-9CFA9DEC25EA}"/>
  <tableColumns count="4">
    <tableColumn id="1" xr3:uid="{96427A6A-5138-46E7-BA56-4695CD08DD8D}" name="Customer_ID" dataDxfId="84"/>
    <tableColumn id="2" xr3:uid="{0B5A4092-D60B-4300-A4BA-0CB9C4DF9C95}" name="Customer_Name" dataDxfId="83"/>
    <tableColumn id="3" xr3:uid="{A3271FE7-A8D7-4376-B098-B3BF1B1075EB}" name="Timestamp" dataDxfId="82">
      <calculatedColumnFormula>NOW()</calculatedColumnFormula>
    </tableColumn>
    <tableColumn id="4" xr3:uid="{316BAAF9-A43B-47BC-947A-A5EBE5D14BE3}" name="Status" dataDxfId="81"/>
  </tableColumns>
  <tableStyleInfo name="TableStyleLight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41390B-3F2B-4F79-9804-21B5FC93600F}" name="Table7" displayName="Table7" ref="A4:E10" totalsRowShown="0" headerRowDxfId="71" dataDxfId="72" headerRowBorderDxfId="78">
  <autoFilter ref="A4:E10" xr:uid="{6041390B-3F2B-4F79-9804-21B5FC93600F}"/>
  <tableColumns count="5">
    <tableColumn id="1" xr3:uid="{C217D631-9444-41BF-BDCF-0D856A42042A}" name="Scenario" dataDxfId="77"/>
    <tableColumn id="2" xr3:uid="{728087D2-9B83-4951-9037-88305D77F95A}" name="Unit Price Change" dataDxfId="76"/>
    <tableColumn id="3" xr3:uid="{22624918-9C99-4D45-95BD-2ECC91BE91A6}" name="Projected Revenue" dataDxfId="75"/>
    <tableColumn id="4" xr3:uid="{2BF5C68E-5BFD-40C4-9773-3A82BA559111}" name="Projected Profit Proxy" dataDxfId="74">
      <calculatedColumnFormula>C5*25%</calculatedColumnFormula>
    </tableColumn>
    <tableColumn id="5" xr3:uid="{C67AD0AB-69FB-4276-BA57-C45D0E2A3A60}" name="Revenue Change" dataDxfId="73">
      <calculatedColumnFormula>C5-$C$7</calculatedColumnFormula>
    </tableColumn>
  </tableColumns>
  <tableStyleInfo name="TableStyleLight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E8F58E-3AFF-44AF-9EDF-7D814B912E54}" name="Table8" displayName="Table8" ref="A3:B8" totalsRowShown="0" headerRowDxfId="49" dataDxfId="50" headerRowBorderDxfId="53" tableBorderDxfId="54">
  <autoFilter ref="A3:B8" xr:uid="{7EE8F58E-3AFF-44AF-9EDF-7D814B912E54}"/>
  <tableColumns count="2">
    <tableColumn id="1" xr3:uid="{1FAA0ED0-3B3E-4E65-9308-5B591737DA35}" name="Regression Statistics" dataDxfId="52"/>
    <tableColumn id="2" xr3:uid="{1F7DC11C-8C30-4E0A-93C8-45F4D43CEF2B}" name="Column1" dataDxfId="51"/>
  </tableColumns>
  <tableStyleInfo name="TableStyleLight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32FD32-F75D-444C-9978-9811B2E5AE09}" name="Table9" displayName="Table9" ref="A11:F14" totalsRowShown="0" headerRowDxfId="26" dataDxfId="40" headerRowBorderDxfId="47" tableBorderDxfId="48">
  <autoFilter ref="A11:F14" xr:uid="{E932FD32-F75D-444C-9978-9811B2E5AE09}"/>
  <tableColumns count="6">
    <tableColumn id="1" xr3:uid="{591A2F09-8E18-4AF1-8782-72B1B7F6C0FF}" name="Column1" dataDxfId="46"/>
    <tableColumn id="2" xr3:uid="{0C87D918-B869-47BC-922D-7C6ACE094A3E}" name="df" dataDxfId="45"/>
    <tableColumn id="3" xr3:uid="{A6EEAE06-C620-41E4-A009-F1600B701C03}" name="SS" dataDxfId="44"/>
    <tableColumn id="4" xr3:uid="{C5FDC3F9-5B4A-4ADF-8F70-64D7A3C90C67}" name="MS" dataDxfId="43"/>
    <tableColumn id="5" xr3:uid="{1561F9AB-7A5C-4029-8245-B17978741B87}" name="F" dataDxfId="42"/>
    <tableColumn id="6" xr3:uid="{5E18F77A-F652-4F13-A6DB-9894AF483D94}" name="Significance F" dataDxfId="41"/>
  </tableColumns>
  <tableStyleInfo name="TableStyleLight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4BB3F8-3F58-4AA4-918B-CFE47D239C99}" name="Table10" displayName="Table10" ref="A16:I18" totalsRowShown="0" headerRowDxfId="27" dataDxfId="28" headerRowBorderDxfId="38" tableBorderDxfId="39">
  <autoFilter ref="A16:I18" xr:uid="{E74BB3F8-3F58-4AA4-918B-CFE47D239C99}"/>
  <tableColumns count="9">
    <tableColumn id="1" xr3:uid="{B2B1BF93-1C87-4191-B8AA-492001B2C341}" name="Column1" dataDxfId="37"/>
    <tableColumn id="2" xr3:uid="{4FC9DF1F-A6D1-4753-90BC-EA5C409E9E60}" name="Coefficients" dataDxfId="36"/>
    <tableColumn id="3" xr3:uid="{F129C5C0-39F1-4348-84AD-29935816F3DC}" name="Standard Error" dataDxfId="35"/>
    <tableColumn id="4" xr3:uid="{B239EEFA-6D78-4943-9BF0-0B31D70D0B74}" name="t Stat" dataDxfId="34"/>
    <tableColumn id="5" xr3:uid="{D346313B-1EC8-4041-85B4-B5687B1022E2}" name="P-value" dataDxfId="33"/>
    <tableColumn id="6" xr3:uid="{97884AD1-AE63-4AF2-BCEC-88DF51187486}" name="Lower 95%" dataDxfId="32"/>
    <tableColumn id="7" xr3:uid="{85939295-6A83-48B3-8AB2-4B8B3D0E430C}" name="Upper 95%" dataDxfId="31"/>
    <tableColumn id="8" xr3:uid="{C6D9E14B-BA48-4B06-B55C-2163096BE260}" name="Lower 95.0%" dataDxfId="30"/>
    <tableColumn id="9" xr3:uid="{507C71BD-D045-47FE-BE0A-6C84950E7B41}" name="Upper 95.0%" dataDxfId="29"/>
  </tableColumns>
  <tableStyleInfo name="TableStyleLight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7953CA-EF03-456D-8DB5-1C63D4099611}" name="Table11" displayName="Table11" ref="A24:C273" totalsRowShown="0" headerRowDxfId="19" dataDxfId="20" headerRowBorderDxfId="24" tableBorderDxfId="25">
  <autoFilter ref="A24:C273" xr:uid="{267953CA-EF03-456D-8DB5-1C63D4099611}"/>
  <tableColumns count="3">
    <tableColumn id="1" xr3:uid="{FAE31E9F-4FAE-44F9-BF86-32079D67051A}" name="Observation" dataDxfId="23"/>
    <tableColumn id="2" xr3:uid="{DC8393F5-2A1C-4463-A269-30631F0496EC}" name="Predicted 749.97" dataDxfId="22"/>
    <tableColumn id="3" xr3:uid="{8A5B91C0-D052-4962-B3B4-1278FCE0F6A4}" name="Residuals" dataDxfId="21"/>
  </tableColumns>
  <tableStyleInfo name="TableStyleLight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FFE2CBD-5660-4626-8B92-08A6E07D4BC2}" name="Table12" displayName="Table12" ref="A3:I34" totalsRowShown="0" headerRowDxfId="8" dataDxfId="9">
  <autoFilter ref="A3:I34" xr:uid="{8FFE2CBD-5660-4626-8B92-08A6E07D4BC2}"/>
  <tableColumns count="9">
    <tableColumn id="1" xr3:uid="{89208D0B-5D7A-4D72-9B84-F154DAFA8871}" name="Column1" dataDxfId="18"/>
    <tableColumn id="2" xr3:uid="{21D7F865-D52D-455C-A0A5-58C18C05A833}" name="Column2" dataDxfId="17"/>
    <tableColumn id="3" xr3:uid="{800ABD6A-84F4-4EA0-95FD-2F3879307603}" name="Column3" dataDxfId="16"/>
    <tableColumn id="4" xr3:uid="{635E1D89-459E-4E9D-B9D8-A39A3D851A94}" name="Column4" dataDxfId="15"/>
    <tableColumn id="5" xr3:uid="{EE985151-E81B-4773-91D9-D9129662DD60}" name="Column5" dataDxfId="14"/>
    <tableColumn id="6" xr3:uid="{773D91B8-FCF4-4B54-90B8-389F04F9D389}" name="Column6" dataDxfId="13"/>
    <tableColumn id="7" xr3:uid="{8D83A9A8-A6C6-44AD-8353-6F973813ED10}" name="Column7" dataDxfId="12"/>
    <tableColumn id="8" xr3:uid="{7D420CBA-0C88-4A5D-9428-9DF37F2E8B7A}" name="Column8" dataDxfId="11"/>
    <tableColumn id="9" xr3:uid="{C9EEAEE7-1AE9-4EEC-9C12-BC0120784436}" name="Column9" dataDxfId="10"/>
  </tableColumns>
  <tableStyleInfo name="TableStyleLight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12A2FA9-2DEC-41F3-9B6F-4B65007BA02B}" name="Table13" displayName="Table13" ref="L4:P14" totalsRowShown="0" headerRowDxfId="0" dataDxfId="1" headerRowBorderDxfId="7">
  <autoFilter ref="L4:P14" xr:uid="{712A2FA9-2DEC-41F3-9B6F-4B65007BA02B}"/>
  <tableColumns count="5">
    <tableColumn id="1" xr3:uid="{B41D963A-73A4-47D5-A9BD-3C2B787B1410}" name="Original Name" dataDxfId="6"/>
    <tableColumn id="2" xr3:uid="{596B42E6-AF5E-4544-ABDA-1952F3DD9D1D}" name="Initials" dataDxfId="5">
      <calculatedColumnFormula>UPPER(LEFT(L5,1)&amp;LEFT(RIGHT(L5,LEN(L5)-FIND(" ",L5)),1))</calculatedColumnFormula>
    </tableColumn>
    <tableColumn id="3" xr3:uid="{8776BFBF-9640-4527-B5AD-4C8C3C374B48}" name="First Name" dataDxfId="4">
      <calculatedColumnFormula>LEFT(L5,FIND(" ",L5)-1)</calculatedColumnFormula>
    </tableColumn>
    <tableColumn id="4" xr3:uid="{B4807C47-4FC0-4359-BE71-5A6692229D4E}" name="Last Name" dataDxfId="3">
      <calculatedColumnFormula>RIGHT(L5,LEN(L5)-FIND(" ",L5))</calculatedColumnFormula>
    </tableColumn>
    <tableColumn id="5" xr3:uid="{F6B5D79B-7450-46BB-A1F7-7D5820CA16A8}" name="Name Length" dataDxfId="2">
      <calculatedColumnFormula>LEN(L5)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36FEE25D-90BA-4256-93C2-35C69918F4DD}" sourceName="Date">
  <pivotTables>
    <pivotTable tabId="16" name="PivotTable2"/>
  </pivotTables>
  <state minimalRefreshVersion="6" lastRefreshVersion="6" pivotCacheId="2096957582" filterType="dateBetween">
    <selection startDate="2024-01-01T00:00:00" endDate="2025-12-31T00:00:00"/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6CEBF00B-9474-47D9-84AD-698D4C867A37}" cache="NativeTimeline_Date" caption="Date" level="2" selectionLevel="0" scrollPosition="2024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A03D16B5-C45B-4E24-A145-E4853B8B3B39}" cache="NativeTimeline_Date" caption="Date" level="2" selectionLevel="0" scrollPosition="2024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11/relationships/timeline" Target="../timelines/timelin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AFC7-163F-4AB9-BEC6-DF1E88361F99}">
  <dimension ref="A1:N251"/>
  <sheetViews>
    <sheetView workbookViewId="0">
      <selection activeCell="F9" sqref="F9"/>
    </sheetView>
  </sheetViews>
  <sheetFormatPr defaultRowHeight="14.4"/>
  <cols>
    <col min="1" max="1" width="15.44140625" customWidth="1"/>
    <col min="2" max="2" width="17.21875" customWidth="1"/>
    <col min="3" max="3" width="13.77734375" customWidth="1"/>
    <col min="4" max="4" width="17" customWidth="1"/>
    <col min="5" max="5" width="12.33203125" customWidth="1"/>
    <col min="6" max="6" width="15.5546875" customWidth="1"/>
    <col min="7" max="7" width="10.44140625" customWidth="1"/>
    <col min="8" max="8" width="10.21875" customWidth="1"/>
    <col min="9" max="9" width="11.5546875" customWidth="1"/>
    <col min="10" max="10" width="18.21875" customWidth="1"/>
    <col min="12" max="12" width="19.44140625" customWidth="1"/>
    <col min="13" max="13" width="16.44140625" customWidth="1"/>
    <col min="14" max="14" width="15" customWidth="1"/>
  </cols>
  <sheetData>
    <row r="1" spans="1:14" ht="15" thickBot="1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1" t="s">
        <v>13</v>
      </c>
    </row>
    <row r="2" spans="1:14" ht="15" thickBot="1">
      <c r="A2" s="2" t="s">
        <v>14</v>
      </c>
      <c r="B2" s="3">
        <v>45393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>
        <v>3</v>
      </c>
      <c r="I2" s="4">
        <v>249.99</v>
      </c>
      <c r="J2" s="4" t="s">
        <v>20</v>
      </c>
      <c r="K2" s="4" t="s">
        <v>21</v>
      </c>
      <c r="L2" s="4" t="s">
        <v>22</v>
      </c>
      <c r="M2" s="3">
        <v>44425</v>
      </c>
      <c r="N2" s="5">
        <v>749.97</v>
      </c>
    </row>
    <row r="3" spans="1:14" ht="15" thickBot="1">
      <c r="A3" s="2" t="s">
        <v>23</v>
      </c>
      <c r="B3" s="3">
        <v>45396</v>
      </c>
      <c r="C3" s="4" t="s">
        <v>24</v>
      </c>
      <c r="D3" s="4" t="s">
        <v>25</v>
      </c>
      <c r="E3" s="4" t="s">
        <v>17</v>
      </c>
      <c r="F3" s="4" t="s">
        <v>18</v>
      </c>
      <c r="G3" s="4" t="s">
        <v>19</v>
      </c>
      <c r="H3" s="4">
        <v>3</v>
      </c>
      <c r="I3" s="4">
        <v>249.99</v>
      </c>
      <c r="J3" s="4" t="s">
        <v>26</v>
      </c>
      <c r="K3" s="4" t="s">
        <v>21</v>
      </c>
      <c r="L3" s="4" t="s">
        <v>27</v>
      </c>
      <c r="M3" s="3">
        <v>44575</v>
      </c>
      <c r="N3" s="5">
        <v>749.97</v>
      </c>
    </row>
    <row r="4" spans="1:14" ht="15" thickBot="1">
      <c r="A4" s="2" t="s">
        <v>28</v>
      </c>
      <c r="B4" s="3">
        <v>45399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>
        <v>3</v>
      </c>
      <c r="I4" s="4">
        <v>59.99</v>
      </c>
      <c r="J4" s="4" t="s">
        <v>34</v>
      </c>
      <c r="K4" s="4" t="s">
        <v>35</v>
      </c>
      <c r="L4" s="4" t="s">
        <v>36</v>
      </c>
      <c r="M4" s="3">
        <v>45262</v>
      </c>
      <c r="N4" s="5">
        <v>179.97</v>
      </c>
    </row>
    <row r="5" spans="1:14" ht="15" thickBot="1">
      <c r="A5" s="2" t="s">
        <v>37</v>
      </c>
      <c r="B5" s="3">
        <v>45400</v>
      </c>
      <c r="C5" s="4" t="s">
        <v>38</v>
      </c>
      <c r="D5" s="4" t="s">
        <v>39</v>
      </c>
      <c r="E5" s="4" t="s">
        <v>31</v>
      </c>
      <c r="F5" s="4" t="s">
        <v>32</v>
      </c>
      <c r="G5" s="4" t="s">
        <v>33</v>
      </c>
      <c r="H5" s="4">
        <v>3</v>
      </c>
      <c r="I5" s="4">
        <v>59.99</v>
      </c>
      <c r="J5" s="4" t="s">
        <v>20</v>
      </c>
      <c r="K5" s="4" t="s">
        <v>40</v>
      </c>
      <c r="L5" s="4" t="s">
        <v>27</v>
      </c>
      <c r="M5" s="3">
        <v>45114</v>
      </c>
      <c r="N5" s="5">
        <v>179.97</v>
      </c>
    </row>
    <row r="6" spans="1:14" ht="15" thickBot="1">
      <c r="A6" s="2" t="s">
        <v>41</v>
      </c>
      <c r="B6" s="3">
        <v>45400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>
        <v>5</v>
      </c>
      <c r="I6" s="4">
        <v>149.99</v>
      </c>
      <c r="J6" s="4" t="s">
        <v>26</v>
      </c>
      <c r="K6" s="4" t="s">
        <v>40</v>
      </c>
      <c r="L6" s="4" t="s">
        <v>27</v>
      </c>
      <c r="M6" s="3">
        <v>45295</v>
      </c>
      <c r="N6" s="5">
        <v>749.95</v>
      </c>
    </row>
    <row r="7" spans="1:14" ht="15" thickBot="1">
      <c r="A7" s="2" t="s">
        <v>47</v>
      </c>
      <c r="B7" s="3">
        <v>45403</v>
      </c>
      <c r="C7" s="4" t="s">
        <v>48</v>
      </c>
      <c r="D7" s="4" t="s">
        <v>49</v>
      </c>
      <c r="E7" s="4" t="s">
        <v>31</v>
      </c>
      <c r="F7" s="4" t="s">
        <v>32</v>
      </c>
      <c r="G7" s="4" t="s">
        <v>33</v>
      </c>
      <c r="H7" s="4">
        <v>2</v>
      </c>
      <c r="I7" s="4">
        <v>59.99</v>
      </c>
      <c r="J7" s="4" t="s">
        <v>20</v>
      </c>
      <c r="K7" s="4" t="s">
        <v>50</v>
      </c>
      <c r="L7" s="4" t="s">
        <v>36</v>
      </c>
      <c r="M7" s="3">
        <v>44746</v>
      </c>
      <c r="N7" s="5">
        <v>119.98</v>
      </c>
    </row>
    <row r="8" spans="1:14" ht="15" thickBot="1">
      <c r="A8" s="2" t="s">
        <v>51</v>
      </c>
      <c r="B8" s="3">
        <v>45403</v>
      </c>
      <c r="C8" s="4" t="s">
        <v>48</v>
      </c>
      <c r="D8" s="4" t="s">
        <v>49</v>
      </c>
      <c r="E8" s="4" t="s">
        <v>52</v>
      </c>
      <c r="F8" s="4" t="s">
        <v>53</v>
      </c>
      <c r="G8" s="4" t="s">
        <v>19</v>
      </c>
      <c r="H8" s="4">
        <v>5</v>
      </c>
      <c r="I8" s="4">
        <v>149.99</v>
      </c>
      <c r="J8" s="4" t="s">
        <v>26</v>
      </c>
      <c r="K8" s="4" t="s">
        <v>21</v>
      </c>
      <c r="L8" s="4" t="s">
        <v>36</v>
      </c>
      <c r="M8" s="3">
        <v>44418</v>
      </c>
      <c r="N8" s="5">
        <v>749.95</v>
      </c>
    </row>
    <row r="9" spans="1:14" ht="15" thickBot="1">
      <c r="A9" s="2" t="s">
        <v>54</v>
      </c>
      <c r="B9" s="3">
        <v>45403</v>
      </c>
      <c r="C9" s="4" t="s">
        <v>55</v>
      </c>
      <c r="D9" s="4" t="s">
        <v>56</v>
      </c>
      <c r="E9" s="4" t="s">
        <v>31</v>
      </c>
      <c r="F9" s="4" t="s">
        <v>32</v>
      </c>
      <c r="G9" s="4" t="s">
        <v>33</v>
      </c>
      <c r="H9" s="4">
        <v>3</v>
      </c>
      <c r="I9" s="4">
        <v>59.99</v>
      </c>
      <c r="J9" s="4" t="s">
        <v>57</v>
      </c>
      <c r="K9" s="4" t="s">
        <v>35</v>
      </c>
      <c r="L9" s="4" t="s">
        <v>22</v>
      </c>
      <c r="M9" s="3">
        <v>45007</v>
      </c>
      <c r="N9" s="5">
        <v>179.97</v>
      </c>
    </row>
    <row r="10" spans="1:14" ht="15" thickBot="1">
      <c r="A10" s="2" t="s">
        <v>58</v>
      </c>
      <c r="B10" s="3">
        <v>45405</v>
      </c>
      <c r="C10" s="4" t="s">
        <v>59</v>
      </c>
      <c r="D10" s="4" t="s">
        <v>60</v>
      </c>
      <c r="E10" s="4" t="s">
        <v>61</v>
      </c>
      <c r="F10" s="4" t="s">
        <v>62</v>
      </c>
      <c r="G10" s="4" t="s">
        <v>19</v>
      </c>
      <c r="H10" s="4">
        <v>3</v>
      </c>
      <c r="I10" s="4">
        <v>899.99</v>
      </c>
      <c r="J10" s="4" t="s">
        <v>34</v>
      </c>
      <c r="K10" s="4" t="s">
        <v>63</v>
      </c>
      <c r="L10" s="4" t="s">
        <v>36</v>
      </c>
      <c r="M10" s="3">
        <v>45299</v>
      </c>
      <c r="N10" s="5">
        <v>2699.97</v>
      </c>
    </row>
    <row r="11" spans="1:14" ht="15" thickBot="1">
      <c r="A11" s="2" t="s">
        <v>64</v>
      </c>
      <c r="B11" s="3">
        <v>45408</v>
      </c>
      <c r="C11" s="4" t="s">
        <v>65</v>
      </c>
      <c r="D11" s="4" t="s">
        <v>66</v>
      </c>
      <c r="E11" s="4" t="s">
        <v>31</v>
      </c>
      <c r="F11" s="4" t="s">
        <v>32</v>
      </c>
      <c r="G11" s="4" t="s">
        <v>33</v>
      </c>
      <c r="H11" s="4">
        <v>3</v>
      </c>
      <c r="I11" s="4">
        <v>59.99</v>
      </c>
      <c r="J11" s="4" t="s">
        <v>20</v>
      </c>
      <c r="K11" s="4" t="s">
        <v>50</v>
      </c>
      <c r="L11" s="4" t="s">
        <v>27</v>
      </c>
      <c r="M11" s="3">
        <v>45207</v>
      </c>
      <c r="N11" s="5">
        <v>179.97</v>
      </c>
    </row>
    <row r="12" spans="1:14" ht="15" thickBot="1">
      <c r="A12" s="2" t="s">
        <v>67</v>
      </c>
      <c r="B12" s="3">
        <v>45408</v>
      </c>
      <c r="C12" s="4" t="s">
        <v>68</v>
      </c>
      <c r="D12" s="4" t="s">
        <v>69</v>
      </c>
      <c r="E12" s="4" t="s">
        <v>44</v>
      </c>
      <c r="F12" s="4" t="s">
        <v>45</v>
      </c>
      <c r="G12" s="4" t="s">
        <v>46</v>
      </c>
      <c r="H12" s="4">
        <v>1</v>
      </c>
      <c r="I12" s="4">
        <v>149.99</v>
      </c>
      <c r="J12" s="4" t="s">
        <v>26</v>
      </c>
      <c r="K12" s="4" t="s">
        <v>50</v>
      </c>
      <c r="L12" s="4" t="s">
        <v>36</v>
      </c>
      <c r="M12" s="3">
        <v>45103</v>
      </c>
      <c r="N12" s="5">
        <v>149.99</v>
      </c>
    </row>
    <row r="13" spans="1:14" ht="15" thickBot="1">
      <c r="A13" s="2" t="s">
        <v>70</v>
      </c>
      <c r="B13" s="3">
        <v>45408</v>
      </c>
      <c r="C13" s="4" t="s">
        <v>38</v>
      </c>
      <c r="D13" s="4" t="s">
        <v>39</v>
      </c>
      <c r="E13" s="4" t="s">
        <v>44</v>
      </c>
      <c r="F13" s="4" t="s">
        <v>45</v>
      </c>
      <c r="G13" s="4" t="s">
        <v>46</v>
      </c>
      <c r="H13" s="4">
        <v>5</v>
      </c>
      <c r="I13" s="4">
        <v>149.99</v>
      </c>
      <c r="J13" s="4" t="s">
        <v>57</v>
      </c>
      <c r="K13" s="4" t="s">
        <v>40</v>
      </c>
      <c r="L13" s="4" t="s">
        <v>22</v>
      </c>
      <c r="M13" s="3">
        <v>44830</v>
      </c>
      <c r="N13" s="5">
        <v>749.95</v>
      </c>
    </row>
    <row r="14" spans="1:14" ht="15" thickBot="1">
      <c r="A14" s="2" t="s">
        <v>71</v>
      </c>
      <c r="B14" s="3">
        <v>45408</v>
      </c>
      <c r="C14" s="4" t="s">
        <v>72</v>
      </c>
      <c r="D14" s="4" t="s">
        <v>73</v>
      </c>
      <c r="E14" s="4" t="s">
        <v>44</v>
      </c>
      <c r="F14" s="4" t="s">
        <v>45</v>
      </c>
      <c r="G14" s="4" t="s">
        <v>46</v>
      </c>
      <c r="H14" s="4">
        <v>3</v>
      </c>
      <c r="I14" s="4">
        <v>149.99</v>
      </c>
      <c r="J14" s="4" t="s">
        <v>20</v>
      </c>
      <c r="K14" s="4" t="s">
        <v>40</v>
      </c>
      <c r="L14" s="4" t="s">
        <v>27</v>
      </c>
      <c r="M14" s="3">
        <v>44806</v>
      </c>
      <c r="N14" s="5">
        <v>449.97</v>
      </c>
    </row>
    <row r="15" spans="1:14" ht="15" thickBot="1">
      <c r="A15" s="2" t="s">
        <v>74</v>
      </c>
      <c r="B15" s="3">
        <v>45409</v>
      </c>
      <c r="C15" s="4" t="s">
        <v>75</v>
      </c>
      <c r="D15" s="4" t="s">
        <v>76</v>
      </c>
      <c r="E15" s="4" t="s">
        <v>31</v>
      </c>
      <c r="F15" s="4" t="s">
        <v>32</v>
      </c>
      <c r="G15" s="4" t="s">
        <v>33</v>
      </c>
      <c r="H15" s="4">
        <v>3</v>
      </c>
      <c r="I15" s="4">
        <v>59.99</v>
      </c>
      <c r="J15" s="4" t="s">
        <v>26</v>
      </c>
      <c r="K15" s="4" t="s">
        <v>40</v>
      </c>
      <c r="L15" s="4" t="s">
        <v>36</v>
      </c>
      <c r="M15" s="3">
        <v>45351</v>
      </c>
      <c r="N15" s="5">
        <v>179.97</v>
      </c>
    </row>
    <row r="16" spans="1:14" ht="15" thickBot="1">
      <c r="A16" s="2" t="s">
        <v>77</v>
      </c>
      <c r="B16" s="3">
        <v>45409</v>
      </c>
      <c r="C16" s="4" t="s">
        <v>78</v>
      </c>
      <c r="D16" s="4" t="s">
        <v>79</v>
      </c>
      <c r="E16" s="4" t="s">
        <v>80</v>
      </c>
      <c r="F16" s="4" t="s">
        <v>81</v>
      </c>
      <c r="G16" s="4" t="s">
        <v>19</v>
      </c>
      <c r="H16" s="4">
        <v>3</v>
      </c>
      <c r="I16" s="4">
        <v>699.99</v>
      </c>
      <c r="J16" s="4" t="s">
        <v>26</v>
      </c>
      <c r="K16" s="4" t="s">
        <v>50</v>
      </c>
      <c r="L16" s="4" t="s">
        <v>22</v>
      </c>
      <c r="M16" s="3">
        <v>44577</v>
      </c>
      <c r="N16" s="5">
        <v>2099.9699999999998</v>
      </c>
    </row>
    <row r="17" spans="1:14" ht="15" thickBot="1">
      <c r="A17" s="2" t="s">
        <v>82</v>
      </c>
      <c r="B17" s="3">
        <v>45409</v>
      </c>
      <c r="C17" s="4" t="s">
        <v>83</v>
      </c>
      <c r="D17" s="4" t="s">
        <v>84</v>
      </c>
      <c r="E17" s="4" t="s">
        <v>61</v>
      </c>
      <c r="F17" s="4" t="s">
        <v>62</v>
      </c>
      <c r="G17" s="4" t="s">
        <v>19</v>
      </c>
      <c r="H17" s="4">
        <v>1</v>
      </c>
      <c r="I17" s="4">
        <v>899.99</v>
      </c>
      <c r="J17" s="4" t="s">
        <v>57</v>
      </c>
      <c r="K17" s="4" t="s">
        <v>40</v>
      </c>
      <c r="L17" s="4" t="s">
        <v>36</v>
      </c>
      <c r="M17" s="3">
        <v>44920</v>
      </c>
      <c r="N17" s="5">
        <v>899.99</v>
      </c>
    </row>
    <row r="18" spans="1:14" ht="15" thickBot="1">
      <c r="A18" s="2" t="s">
        <v>85</v>
      </c>
      <c r="B18" s="3">
        <v>45410</v>
      </c>
      <c r="C18" s="4" t="s">
        <v>86</v>
      </c>
      <c r="D18" s="4" t="s">
        <v>87</v>
      </c>
      <c r="E18" s="4" t="s">
        <v>44</v>
      </c>
      <c r="F18" s="4" t="s">
        <v>45</v>
      </c>
      <c r="G18" s="4" t="s">
        <v>46</v>
      </c>
      <c r="H18" s="4">
        <v>4</v>
      </c>
      <c r="I18" s="4">
        <v>149.99</v>
      </c>
      <c r="J18" s="4" t="s">
        <v>57</v>
      </c>
      <c r="K18" s="4" t="s">
        <v>40</v>
      </c>
      <c r="L18" s="4" t="s">
        <v>27</v>
      </c>
      <c r="M18" s="3">
        <v>45374</v>
      </c>
      <c r="N18" s="5">
        <v>599.96</v>
      </c>
    </row>
    <row r="19" spans="1:14" ht="15" thickBot="1">
      <c r="A19" s="2" t="s">
        <v>88</v>
      </c>
      <c r="B19" s="3">
        <v>45410</v>
      </c>
      <c r="C19" s="4" t="s">
        <v>89</v>
      </c>
      <c r="D19" s="4" t="s">
        <v>90</v>
      </c>
      <c r="E19" s="4" t="s">
        <v>80</v>
      </c>
      <c r="F19" s="4" t="s">
        <v>81</v>
      </c>
      <c r="G19" s="4" t="s">
        <v>19</v>
      </c>
      <c r="H19" s="4">
        <v>2</v>
      </c>
      <c r="I19" s="4">
        <v>699.99</v>
      </c>
      <c r="J19" s="4" t="s">
        <v>20</v>
      </c>
      <c r="K19" s="4" t="s">
        <v>40</v>
      </c>
      <c r="L19" s="4" t="s">
        <v>22</v>
      </c>
      <c r="M19" s="3">
        <v>44781</v>
      </c>
      <c r="N19" s="5">
        <v>1399.98</v>
      </c>
    </row>
    <row r="20" spans="1:14" ht="15" thickBot="1">
      <c r="A20" s="2" t="s">
        <v>91</v>
      </c>
      <c r="B20" s="3">
        <v>45410</v>
      </c>
      <c r="C20" s="4" t="s">
        <v>86</v>
      </c>
      <c r="D20" s="4" t="s">
        <v>87</v>
      </c>
      <c r="E20" s="4" t="s">
        <v>61</v>
      </c>
      <c r="F20" s="4" t="s">
        <v>62</v>
      </c>
      <c r="G20" s="4" t="s">
        <v>19</v>
      </c>
      <c r="H20" s="4">
        <v>4</v>
      </c>
      <c r="I20" s="4">
        <v>899.99</v>
      </c>
      <c r="J20" s="4" t="s">
        <v>26</v>
      </c>
      <c r="K20" s="4" t="s">
        <v>50</v>
      </c>
      <c r="L20" s="4" t="s">
        <v>36</v>
      </c>
      <c r="M20" s="3">
        <v>45327</v>
      </c>
      <c r="N20" s="5">
        <v>3599.96</v>
      </c>
    </row>
    <row r="21" spans="1:14" ht="15" thickBot="1">
      <c r="A21" s="2" t="s">
        <v>92</v>
      </c>
      <c r="B21" s="3">
        <v>45410</v>
      </c>
      <c r="C21" s="4" t="s">
        <v>93</v>
      </c>
      <c r="D21" s="4" t="s">
        <v>94</v>
      </c>
      <c r="E21" s="4" t="s">
        <v>17</v>
      </c>
      <c r="F21" s="4" t="s">
        <v>18</v>
      </c>
      <c r="G21" s="4" t="s">
        <v>19</v>
      </c>
      <c r="H21" s="4">
        <v>3</v>
      </c>
      <c r="I21" s="4">
        <v>249.99</v>
      </c>
      <c r="J21" s="4" t="s">
        <v>26</v>
      </c>
      <c r="K21" s="4" t="s">
        <v>40</v>
      </c>
      <c r="L21" s="4" t="s">
        <v>27</v>
      </c>
      <c r="M21" s="3">
        <v>45224</v>
      </c>
      <c r="N21" s="5">
        <v>749.97</v>
      </c>
    </row>
    <row r="22" spans="1:14" ht="15" thickBot="1">
      <c r="A22" s="2" t="s">
        <v>95</v>
      </c>
      <c r="B22" s="3">
        <v>45412</v>
      </c>
      <c r="C22" s="4" t="s">
        <v>96</v>
      </c>
      <c r="D22" s="4" t="s">
        <v>97</v>
      </c>
      <c r="E22" s="4" t="s">
        <v>80</v>
      </c>
      <c r="F22" s="4" t="s">
        <v>81</v>
      </c>
      <c r="G22" s="4" t="s">
        <v>19</v>
      </c>
      <c r="H22" s="4">
        <v>5</v>
      </c>
      <c r="I22" s="4">
        <v>699.99</v>
      </c>
      <c r="J22" s="4" t="s">
        <v>20</v>
      </c>
      <c r="K22" s="4" t="s">
        <v>50</v>
      </c>
      <c r="L22" s="4" t="s">
        <v>22</v>
      </c>
      <c r="M22" s="3">
        <v>45167</v>
      </c>
      <c r="N22" s="5">
        <v>3499.95</v>
      </c>
    </row>
    <row r="23" spans="1:14" ht="15" thickBot="1">
      <c r="A23" s="2" t="s">
        <v>98</v>
      </c>
      <c r="B23" s="3">
        <v>45413</v>
      </c>
      <c r="C23" s="4" t="s">
        <v>99</v>
      </c>
      <c r="D23" s="4" t="s">
        <v>100</v>
      </c>
      <c r="E23" s="4" t="s">
        <v>80</v>
      </c>
      <c r="F23" s="4" t="s">
        <v>81</v>
      </c>
      <c r="G23" s="4" t="s">
        <v>19</v>
      </c>
      <c r="H23" s="4">
        <v>4</v>
      </c>
      <c r="I23" s="4">
        <v>699.99</v>
      </c>
      <c r="J23" s="4" t="s">
        <v>20</v>
      </c>
      <c r="K23" s="4" t="s">
        <v>63</v>
      </c>
      <c r="L23" s="4" t="s">
        <v>36</v>
      </c>
      <c r="M23" s="3">
        <v>44409</v>
      </c>
      <c r="N23" s="5">
        <v>2799.96</v>
      </c>
    </row>
    <row r="24" spans="1:14" ht="15" thickBot="1">
      <c r="A24" s="2" t="s">
        <v>101</v>
      </c>
      <c r="B24" s="3">
        <v>45415</v>
      </c>
      <c r="C24" s="4" t="s">
        <v>102</v>
      </c>
      <c r="D24" s="4" t="s">
        <v>103</v>
      </c>
      <c r="E24" s="4" t="s">
        <v>17</v>
      </c>
      <c r="F24" s="4" t="s">
        <v>18</v>
      </c>
      <c r="G24" s="4" t="s">
        <v>19</v>
      </c>
      <c r="H24" s="4">
        <v>4</v>
      </c>
      <c r="I24" s="4">
        <v>249.99</v>
      </c>
      <c r="J24" s="4" t="s">
        <v>34</v>
      </c>
      <c r="K24" s="4" t="s">
        <v>40</v>
      </c>
      <c r="L24" s="4" t="s">
        <v>36</v>
      </c>
      <c r="M24" s="3">
        <v>44468</v>
      </c>
      <c r="N24" s="5">
        <v>999.96</v>
      </c>
    </row>
    <row r="25" spans="1:14" ht="15" thickBot="1">
      <c r="A25" s="2" t="s">
        <v>104</v>
      </c>
      <c r="B25" s="3">
        <v>45416</v>
      </c>
      <c r="C25" s="4" t="s">
        <v>86</v>
      </c>
      <c r="D25" s="4" t="s">
        <v>87</v>
      </c>
      <c r="E25" s="4" t="s">
        <v>105</v>
      </c>
      <c r="F25" s="4" t="s">
        <v>106</v>
      </c>
      <c r="G25" s="4" t="s">
        <v>46</v>
      </c>
      <c r="H25" s="4">
        <v>4</v>
      </c>
      <c r="I25" s="4">
        <v>299.99</v>
      </c>
      <c r="J25" s="4" t="s">
        <v>20</v>
      </c>
      <c r="K25" s="4" t="s">
        <v>50</v>
      </c>
      <c r="L25" s="4" t="s">
        <v>27</v>
      </c>
      <c r="M25" s="3">
        <v>44716</v>
      </c>
      <c r="N25" s="5">
        <v>1199.96</v>
      </c>
    </row>
    <row r="26" spans="1:14" ht="15" thickBot="1">
      <c r="A26" s="2" t="s">
        <v>107</v>
      </c>
      <c r="B26" s="3">
        <v>45422</v>
      </c>
      <c r="C26" s="4" t="s">
        <v>108</v>
      </c>
      <c r="D26" s="4" t="s">
        <v>109</v>
      </c>
      <c r="E26" s="4" t="s">
        <v>17</v>
      </c>
      <c r="F26" s="4" t="s">
        <v>18</v>
      </c>
      <c r="G26" s="4" t="s">
        <v>19</v>
      </c>
      <c r="H26" s="4">
        <v>5</v>
      </c>
      <c r="I26" s="4">
        <v>249.99</v>
      </c>
      <c r="J26" s="4" t="s">
        <v>26</v>
      </c>
      <c r="K26" s="4" t="s">
        <v>50</v>
      </c>
      <c r="L26" s="4" t="s">
        <v>36</v>
      </c>
      <c r="M26" s="3">
        <v>44525</v>
      </c>
      <c r="N26" s="5">
        <v>1249.95</v>
      </c>
    </row>
    <row r="27" spans="1:14" ht="15" thickBot="1">
      <c r="A27" s="2" t="s">
        <v>110</v>
      </c>
      <c r="B27" s="3">
        <v>45424</v>
      </c>
      <c r="C27" s="4" t="s">
        <v>68</v>
      </c>
      <c r="D27" s="4" t="s">
        <v>69</v>
      </c>
      <c r="E27" s="4" t="s">
        <v>105</v>
      </c>
      <c r="F27" s="4" t="s">
        <v>106</v>
      </c>
      <c r="G27" s="4" t="s">
        <v>46</v>
      </c>
      <c r="H27" s="4">
        <v>5</v>
      </c>
      <c r="I27" s="4">
        <v>299.99</v>
      </c>
      <c r="J27" s="4" t="s">
        <v>34</v>
      </c>
      <c r="K27" s="4" t="s">
        <v>63</v>
      </c>
      <c r="L27" s="4" t="s">
        <v>22</v>
      </c>
      <c r="M27" s="3">
        <v>45168</v>
      </c>
      <c r="N27" s="5">
        <v>1499.95</v>
      </c>
    </row>
    <row r="28" spans="1:14" ht="15" thickBot="1">
      <c r="A28" s="2" t="s">
        <v>111</v>
      </c>
      <c r="B28" s="3">
        <v>45424</v>
      </c>
      <c r="C28" s="4" t="s">
        <v>112</v>
      </c>
      <c r="D28" s="4" t="s">
        <v>113</v>
      </c>
      <c r="E28" s="4" t="s">
        <v>114</v>
      </c>
      <c r="F28" s="4" t="s">
        <v>115</v>
      </c>
      <c r="G28" s="4" t="s">
        <v>33</v>
      </c>
      <c r="H28" s="4">
        <v>3</v>
      </c>
      <c r="I28" s="4">
        <v>79.989999999999995</v>
      </c>
      <c r="J28" s="4" t="s">
        <v>34</v>
      </c>
      <c r="K28" s="4" t="s">
        <v>63</v>
      </c>
      <c r="L28" s="4" t="s">
        <v>27</v>
      </c>
      <c r="M28" s="3">
        <v>45012</v>
      </c>
      <c r="N28" s="5">
        <v>239.97</v>
      </c>
    </row>
    <row r="29" spans="1:14" ht="15" thickBot="1">
      <c r="A29" s="2" t="s">
        <v>116</v>
      </c>
      <c r="B29" s="3">
        <v>45424</v>
      </c>
      <c r="C29" s="4" t="s">
        <v>99</v>
      </c>
      <c r="D29" s="4" t="s">
        <v>100</v>
      </c>
      <c r="E29" s="4" t="s">
        <v>117</v>
      </c>
      <c r="F29" s="4" t="s">
        <v>118</v>
      </c>
      <c r="G29" s="4" t="s">
        <v>19</v>
      </c>
      <c r="H29" s="4">
        <v>5</v>
      </c>
      <c r="I29" s="4">
        <v>89.99</v>
      </c>
      <c r="J29" s="4" t="s">
        <v>20</v>
      </c>
      <c r="K29" s="4" t="s">
        <v>40</v>
      </c>
      <c r="L29" s="4" t="s">
        <v>27</v>
      </c>
      <c r="M29" s="3">
        <v>44919</v>
      </c>
      <c r="N29" s="5">
        <v>449.95</v>
      </c>
    </row>
    <row r="30" spans="1:14" ht="15" thickBot="1">
      <c r="A30" s="2" t="s">
        <v>119</v>
      </c>
      <c r="B30" s="3">
        <v>45425</v>
      </c>
      <c r="C30" s="4" t="s">
        <v>120</v>
      </c>
      <c r="D30" s="4" t="s">
        <v>121</v>
      </c>
      <c r="E30" s="4" t="s">
        <v>31</v>
      </c>
      <c r="F30" s="4" t="s">
        <v>32</v>
      </c>
      <c r="G30" s="4" t="s">
        <v>33</v>
      </c>
      <c r="H30" s="4">
        <v>2</v>
      </c>
      <c r="I30" s="4">
        <v>59.99</v>
      </c>
      <c r="J30" s="4" t="s">
        <v>57</v>
      </c>
      <c r="K30" s="4" t="s">
        <v>21</v>
      </c>
      <c r="L30" s="4" t="s">
        <v>36</v>
      </c>
      <c r="M30" s="3">
        <v>45214</v>
      </c>
      <c r="N30" s="5">
        <v>119.98</v>
      </c>
    </row>
    <row r="31" spans="1:14" ht="15" thickBot="1">
      <c r="A31" s="2" t="s">
        <v>122</v>
      </c>
      <c r="B31" s="3">
        <v>45427</v>
      </c>
      <c r="C31" s="4" t="s">
        <v>123</v>
      </c>
      <c r="D31" s="4" t="s">
        <v>124</v>
      </c>
      <c r="E31" s="4" t="s">
        <v>31</v>
      </c>
      <c r="F31" s="4" t="s">
        <v>32</v>
      </c>
      <c r="G31" s="4" t="s">
        <v>33</v>
      </c>
      <c r="H31" s="4">
        <v>4</v>
      </c>
      <c r="I31" s="4">
        <v>59.99</v>
      </c>
      <c r="J31" s="4" t="s">
        <v>57</v>
      </c>
      <c r="K31" s="4" t="s">
        <v>63</v>
      </c>
      <c r="L31" s="4" t="s">
        <v>36</v>
      </c>
      <c r="M31" s="3">
        <v>44867</v>
      </c>
      <c r="N31" s="5">
        <v>239.96</v>
      </c>
    </row>
    <row r="32" spans="1:14" ht="15" thickBot="1">
      <c r="A32" s="2" t="s">
        <v>125</v>
      </c>
      <c r="B32" s="3">
        <v>45427</v>
      </c>
      <c r="C32" s="4" t="s">
        <v>55</v>
      </c>
      <c r="D32" s="4" t="s">
        <v>56</v>
      </c>
      <c r="E32" s="4" t="s">
        <v>126</v>
      </c>
      <c r="F32" s="4" t="s">
        <v>127</v>
      </c>
      <c r="G32" s="4" t="s">
        <v>46</v>
      </c>
      <c r="H32" s="4">
        <v>5</v>
      </c>
      <c r="I32" s="4">
        <v>199.99</v>
      </c>
      <c r="J32" s="4" t="s">
        <v>20</v>
      </c>
      <c r="K32" s="4" t="s">
        <v>35</v>
      </c>
      <c r="L32" s="4" t="s">
        <v>36</v>
      </c>
      <c r="M32" s="3">
        <v>44412</v>
      </c>
      <c r="N32" s="5">
        <v>999.95</v>
      </c>
    </row>
    <row r="33" spans="1:14" ht="15" thickBot="1">
      <c r="A33" s="2" t="s">
        <v>128</v>
      </c>
      <c r="B33" s="3">
        <v>45428</v>
      </c>
      <c r="C33" s="4" t="s">
        <v>129</v>
      </c>
      <c r="D33" s="4" t="s">
        <v>130</v>
      </c>
      <c r="E33" s="4" t="s">
        <v>44</v>
      </c>
      <c r="F33" s="4" t="s">
        <v>45</v>
      </c>
      <c r="G33" s="4" t="s">
        <v>46</v>
      </c>
      <c r="H33" s="4">
        <v>2</v>
      </c>
      <c r="I33" s="4">
        <v>149.99</v>
      </c>
      <c r="J33" s="4" t="s">
        <v>26</v>
      </c>
      <c r="K33" s="4" t="s">
        <v>50</v>
      </c>
      <c r="L33" s="4" t="s">
        <v>22</v>
      </c>
      <c r="M33" s="3">
        <v>44823</v>
      </c>
      <c r="N33" s="5">
        <v>299.98</v>
      </c>
    </row>
    <row r="34" spans="1:14" ht="15" thickBot="1">
      <c r="A34" s="2" t="s">
        <v>131</v>
      </c>
      <c r="B34" s="3">
        <v>45430</v>
      </c>
      <c r="C34" s="4" t="s">
        <v>132</v>
      </c>
      <c r="D34" s="4" t="s">
        <v>133</v>
      </c>
      <c r="E34" s="4" t="s">
        <v>44</v>
      </c>
      <c r="F34" s="4" t="s">
        <v>45</v>
      </c>
      <c r="G34" s="4" t="s">
        <v>46</v>
      </c>
      <c r="H34" s="4">
        <v>3</v>
      </c>
      <c r="I34" s="4">
        <v>149.99</v>
      </c>
      <c r="J34" s="4" t="s">
        <v>26</v>
      </c>
      <c r="K34" s="4" t="s">
        <v>50</v>
      </c>
      <c r="L34" s="4" t="s">
        <v>27</v>
      </c>
      <c r="M34" s="3">
        <v>45068</v>
      </c>
      <c r="N34" s="5">
        <v>449.97</v>
      </c>
    </row>
    <row r="35" spans="1:14" ht="15" thickBot="1">
      <c r="A35" s="2" t="s">
        <v>134</v>
      </c>
      <c r="B35" s="3">
        <v>45432</v>
      </c>
      <c r="C35" s="4" t="s">
        <v>29</v>
      </c>
      <c r="D35" s="4" t="s">
        <v>30</v>
      </c>
      <c r="E35" s="4" t="s">
        <v>61</v>
      </c>
      <c r="F35" s="4" t="s">
        <v>62</v>
      </c>
      <c r="G35" s="4" t="s">
        <v>19</v>
      </c>
      <c r="H35" s="4">
        <v>1</v>
      </c>
      <c r="I35" s="4">
        <v>899.99</v>
      </c>
      <c r="J35" s="4" t="s">
        <v>26</v>
      </c>
      <c r="K35" s="4" t="s">
        <v>50</v>
      </c>
      <c r="L35" s="4" t="s">
        <v>27</v>
      </c>
      <c r="M35" s="3">
        <v>44578</v>
      </c>
      <c r="N35" s="5">
        <v>899.99</v>
      </c>
    </row>
    <row r="36" spans="1:14" ht="15" thickBot="1">
      <c r="A36" s="2" t="s">
        <v>135</v>
      </c>
      <c r="B36" s="3">
        <v>45434</v>
      </c>
      <c r="C36" s="4" t="s">
        <v>99</v>
      </c>
      <c r="D36" s="4" t="s">
        <v>100</v>
      </c>
      <c r="E36" s="4" t="s">
        <v>105</v>
      </c>
      <c r="F36" s="4" t="s">
        <v>106</v>
      </c>
      <c r="G36" s="4" t="s">
        <v>46</v>
      </c>
      <c r="H36" s="4">
        <v>3</v>
      </c>
      <c r="I36" s="4">
        <v>299.99</v>
      </c>
      <c r="J36" s="4" t="s">
        <v>26</v>
      </c>
      <c r="K36" s="4" t="s">
        <v>63</v>
      </c>
      <c r="L36" s="4" t="s">
        <v>22</v>
      </c>
      <c r="M36" s="3">
        <v>44824</v>
      </c>
      <c r="N36" s="5">
        <v>899.97</v>
      </c>
    </row>
    <row r="37" spans="1:14" ht="15" thickBot="1">
      <c r="A37" s="2" t="s">
        <v>136</v>
      </c>
      <c r="B37" s="3">
        <v>45435</v>
      </c>
      <c r="C37" s="4" t="s">
        <v>129</v>
      </c>
      <c r="D37" s="4" t="s">
        <v>130</v>
      </c>
      <c r="E37" s="4" t="s">
        <v>114</v>
      </c>
      <c r="F37" s="4" t="s">
        <v>115</v>
      </c>
      <c r="G37" s="4" t="s">
        <v>33</v>
      </c>
      <c r="H37" s="4">
        <v>3</v>
      </c>
      <c r="I37" s="4">
        <v>79.989999999999995</v>
      </c>
      <c r="J37" s="4" t="s">
        <v>20</v>
      </c>
      <c r="K37" s="4" t="s">
        <v>35</v>
      </c>
      <c r="L37" s="4" t="s">
        <v>22</v>
      </c>
      <c r="M37" s="3">
        <v>45046</v>
      </c>
      <c r="N37" s="5">
        <v>239.97</v>
      </c>
    </row>
    <row r="38" spans="1:14" ht="15" thickBot="1">
      <c r="A38" s="2" t="s">
        <v>137</v>
      </c>
      <c r="B38" s="3">
        <v>45438</v>
      </c>
      <c r="C38" s="4" t="s">
        <v>138</v>
      </c>
      <c r="D38" s="4" t="s">
        <v>139</v>
      </c>
      <c r="E38" s="4" t="s">
        <v>126</v>
      </c>
      <c r="F38" s="4" t="s">
        <v>127</v>
      </c>
      <c r="G38" s="4" t="s">
        <v>46</v>
      </c>
      <c r="H38" s="4">
        <v>3</v>
      </c>
      <c r="I38" s="4">
        <v>199.99</v>
      </c>
      <c r="J38" s="4" t="s">
        <v>26</v>
      </c>
      <c r="K38" s="4" t="s">
        <v>40</v>
      </c>
      <c r="L38" s="4" t="s">
        <v>27</v>
      </c>
      <c r="M38" s="3">
        <v>45292</v>
      </c>
      <c r="N38" s="5">
        <v>599.97</v>
      </c>
    </row>
    <row r="39" spans="1:14" ht="15" thickBot="1">
      <c r="A39" s="2" t="s">
        <v>140</v>
      </c>
      <c r="B39" s="3">
        <v>45440</v>
      </c>
      <c r="C39" s="4" t="s">
        <v>141</v>
      </c>
      <c r="D39" s="4" t="s">
        <v>142</v>
      </c>
      <c r="E39" s="4" t="s">
        <v>80</v>
      </c>
      <c r="F39" s="4" t="s">
        <v>81</v>
      </c>
      <c r="G39" s="4" t="s">
        <v>19</v>
      </c>
      <c r="H39" s="4">
        <v>5</v>
      </c>
      <c r="I39" s="4">
        <v>699.99</v>
      </c>
      <c r="J39" s="4" t="s">
        <v>34</v>
      </c>
      <c r="K39" s="4" t="s">
        <v>50</v>
      </c>
      <c r="L39" s="4" t="s">
        <v>36</v>
      </c>
      <c r="M39" s="3">
        <v>44407</v>
      </c>
      <c r="N39" s="5">
        <v>3499.95</v>
      </c>
    </row>
    <row r="40" spans="1:14" ht="15" thickBot="1">
      <c r="A40" s="2" t="s">
        <v>143</v>
      </c>
      <c r="B40" s="3">
        <v>45441</v>
      </c>
      <c r="C40" s="4" t="s">
        <v>144</v>
      </c>
      <c r="D40" s="4" t="s">
        <v>145</v>
      </c>
      <c r="E40" s="4" t="s">
        <v>117</v>
      </c>
      <c r="F40" s="4" t="s">
        <v>118</v>
      </c>
      <c r="G40" s="4" t="s">
        <v>19</v>
      </c>
      <c r="H40" s="4">
        <v>3</v>
      </c>
      <c r="I40" s="4">
        <v>89.99</v>
      </c>
      <c r="J40" s="4" t="s">
        <v>34</v>
      </c>
      <c r="K40" s="4" t="s">
        <v>21</v>
      </c>
      <c r="L40" s="4" t="s">
        <v>27</v>
      </c>
      <c r="M40" s="3">
        <v>45120</v>
      </c>
      <c r="N40" s="5">
        <v>269.97000000000003</v>
      </c>
    </row>
    <row r="41" spans="1:14" ht="15" thickBot="1">
      <c r="A41" s="2" t="s">
        <v>146</v>
      </c>
      <c r="B41" s="3">
        <v>45443</v>
      </c>
      <c r="C41" s="4" t="s">
        <v>147</v>
      </c>
      <c r="D41" s="4" t="s">
        <v>148</v>
      </c>
      <c r="E41" s="4" t="s">
        <v>114</v>
      </c>
      <c r="F41" s="4" t="s">
        <v>115</v>
      </c>
      <c r="G41" s="4" t="s">
        <v>33</v>
      </c>
      <c r="H41" s="4">
        <v>1</v>
      </c>
      <c r="I41" s="4">
        <v>79.989999999999995</v>
      </c>
      <c r="J41" s="4" t="s">
        <v>20</v>
      </c>
      <c r="K41" s="4" t="s">
        <v>40</v>
      </c>
      <c r="L41" s="4" t="s">
        <v>36</v>
      </c>
      <c r="M41" s="3">
        <v>44917</v>
      </c>
      <c r="N41" s="5">
        <v>79.989999999999995</v>
      </c>
    </row>
    <row r="42" spans="1:14" ht="15" thickBot="1">
      <c r="A42" s="2" t="s">
        <v>149</v>
      </c>
      <c r="B42" s="3">
        <v>45444</v>
      </c>
      <c r="C42" s="4" t="s">
        <v>150</v>
      </c>
      <c r="D42" s="4" t="s">
        <v>151</v>
      </c>
      <c r="E42" s="4" t="s">
        <v>31</v>
      </c>
      <c r="F42" s="4" t="s">
        <v>32</v>
      </c>
      <c r="G42" s="4" t="s">
        <v>33</v>
      </c>
      <c r="H42" s="4">
        <v>2</v>
      </c>
      <c r="I42" s="4">
        <v>59.99</v>
      </c>
      <c r="J42" s="4" t="s">
        <v>20</v>
      </c>
      <c r="K42" s="4" t="s">
        <v>50</v>
      </c>
      <c r="L42" s="4" t="s">
        <v>22</v>
      </c>
      <c r="M42" s="3">
        <v>45390</v>
      </c>
      <c r="N42" s="5">
        <v>119.98</v>
      </c>
    </row>
    <row r="43" spans="1:14" ht="15" thickBot="1">
      <c r="A43" s="2" t="s">
        <v>152</v>
      </c>
      <c r="B43" s="3">
        <v>45444</v>
      </c>
      <c r="C43" s="4" t="s">
        <v>55</v>
      </c>
      <c r="D43" s="4" t="s">
        <v>56</v>
      </c>
      <c r="E43" s="4" t="s">
        <v>117</v>
      </c>
      <c r="F43" s="4" t="s">
        <v>118</v>
      </c>
      <c r="G43" s="4" t="s">
        <v>19</v>
      </c>
      <c r="H43" s="4">
        <v>1</v>
      </c>
      <c r="I43" s="4">
        <v>89.99</v>
      </c>
      <c r="J43" s="4" t="s">
        <v>20</v>
      </c>
      <c r="K43" s="4" t="s">
        <v>40</v>
      </c>
      <c r="L43" s="4" t="s">
        <v>22</v>
      </c>
      <c r="M43" s="3">
        <v>45141</v>
      </c>
      <c r="N43" s="5">
        <v>89.99</v>
      </c>
    </row>
    <row r="44" spans="1:14" ht="15" thickBot="1">
      <c r="A44" s="2" t="s">
        <v>153</v>
      </c>
      <c r="B44" s="3">
        <v>45446</v>
      </c>
      <c r="C44" s="4" t="s">
        <v>154</v>
      </c>
      <c r="D44" s="4" t="s">
        <v>155</v>
      </c>
      <c r="E44" s="4" t="s">
        <v>117</v>
      </c>
      <c r="F44" s="4" t="s">
        <v>118</v>
      </c>
      <c r="G44" s="4" t="s">
        <v>19</v>
      </c>
      <c r="H44" s="4">
        <v>5</v>
      </c>
      <c r="I44" s="4">
        <v>89.99</v>
      </c>
      <c r="J44" s="4" t="s">
        <v>26</v>
      </c>
      <c r="K44" s="4" t="s">
        <v>63</v>
      </c>
      <c r="L44" s="4" t="s">
        <v>36</v>
      </c>
      <c r="M44" s="3">
        <v>44587</v>
      </c>
      <c r="N44" s="5">
        <v>449.95</v>
      </c>
    </row>
    <row r="45" spans="1:14" ht="15" thickBot="1">
      <c r="A45" s="2" t="s">
        <v>156</v>
      </c>
      <c r="B45" s="3">
        <v>45449</v>
      </c>
      <c r="C45" s="4" t="s">
        <v>24</v>
      </c>
      <c r="D45" s="4" t="s">
        <v>25</v>
      </c>
      <c r="E45" s="4" t="s">
        <v>17</v>
      </c>
      <c r="F45" s="4" t="s">
        <v>18</v>
      </c>
      <c r="G45" s="4" t="s">
        <v>19</v>
      </c>
      <c r="H45" s="4">
        <v>5</v>
      </c>
      <c r="I45" s="4">
        <v>249.99</v>
      </c>
      <c r="J45" s="4" t="s">
        <v>26</v>
      </c>
      <c r="K45" s="4" t="s">
        <v>63</v>
      </c>
      <c r="L45" s="4" t="s">
        <v>36</v>
      </c>
      <c r="M45" s="3">
        <v>44707</v>
      </c>
      <c r="N45" s="5">
        <v>1249.95</v>
      </c>
    </row>
    <row r="46" spans="1:14" ht="15" thickBot="1">
      <c r="A46" s="2" t="s">
        <v>157</v>
      </c>
      <c r="B46" s="3">
        <v>45449</v>
      </c>
      <c r="C46" s="4" t="s">
        <v>158</v>
      </c>
      <c r="D46" s="4" t="s">
        <v>159</v>
      </c>
      <c r="E46" s="4" t="s">
        <v>117</v>
      </c>
      <c r="F46" s="4" t="s">
        <v>118</v>
      </c>
      <c r="G46" s="4" t="s">
        <v>19</v>
      </c>
      <c r="H46" s="4">
        <v>1</v>
      </c>
      <c r="I46" s="4">
        <v>89.99</v>
      </c>
      <c r="J46" s="4" t="s">
        <v>26</v>
      </c>
      <c r="K46" s="4" t="s">
        <v>35</v>
      </c>
      <c r="L46" s="4" t="s">
        <v>36</v>
      </c>
      <c r="M46" s="3">
        <v>44582</v>
      </c>
      <c r="N46" s="5">
        <v>89.99</v>
      </c>
    </row>
    <row r="47" spans="1:14" ht="15" thickBot="1">
      <c r="A47" s="2" t="s">
        <v>160</v>
      </c>
      <c r="B47" s="3">
        <v>45450</v>
      </c>
      <c r="C47" s="4" t="s">
        <v>42</v>
      </c>
      <c r="D47" s="4" t="s">
        <v>43</v>
      </c>
      <c r="E47" s="4" t="s">
        <v>44</v>
      </c>
      <c r="F47" s="4" t="s">
        <v>45</v>
      </c>
      <c r="G47" s="4" t="s">
        <v>46</v>
      </c>
      <c r="H47" s="4">
        <v>2</v>
      </c>
      <c r="I47" s="4">
        <v>149.99</v>
      </c>
      <c r="J47" s="4" t="s">
        <v>20</v>
      </c>
      <c r="K47" s="4" t="s">
        <v>63</v>
      </c>
      <c r="L47" s="4" t="s">
        <v>27</v>
      </c>
      <c r="M47" s="3">
        <v>44645</v>
      </c>
      <c r="N47" s="5">
        <v>299.98</v>
      </c>
    </row>
    <row r="48" spans="1:14" ht="15" thickBot="1">
      <c r="A48" s="2" t="s">
        <v>161</v>
      </c>
      <c r="B48" s="3">
        <v>45452</v>
      </c>
      <c r="C48" s="4" t="s">
        <v>162</v>
      </c>
      <c r="D48" s="4" t="s">
        <v>163</v>
      </c>
      <c r="E48" s="4" t="s">
        <v>31</v>
      </c>
      <c r="F48" s="4" t="s">
        <v>32</v>
      </c>
      <c r="G48" s="4" t="s">
        <v>33</v>
      </c>
      <c r="H48" s="4">
        <v>4</v>
      </c>
      <c r="I48" s="4">
        <v>59.99</v>
      </c>
      <c r="J48" s="4" t="s">
        <v>20</v>
      </c>
      <c r="K48" s="4" t="s">
        <v>63</v>
      </c>
      <c r="L48" s="4" t="s">
        <v>36</v>
      </c>
      <c r="M48" s="3">
        <v>44435</v>
      </c>
      <c r="N48" s="5">
        <v>239.96</v>
      </c>
    </row>
    <row r="49" spans="1:14" ht="15" thickBot="1">
      <c r="A49" s="2" t="s">
        <v>164</v>
      </c>
      <c r="B49" s="3">
        <v>45456</v>
      </c>
      <c r="C49" s="4" t="s">
        <v>129</v>
      </c>
      <c r="D49" s="4" t="s">
        <v>130</v>
      </c>
      <c r="E49" s="4" t="s">
        <v>117</v>
      </c>
      <c r="F49" s="4" t="s">
        <v>118</v>
      </c>
      <c r="G49" s="4" t="s">
        <v>19</v>
      </c>
      <c r="H49" s="4">
        <v>5</v>
      </c>
      <c r="I49" s="4">
        <v>89.99</v>
      </c>
      <c r="J49" s="4" t="s">
        <v>20</v>
      </c>
      <c r="K49" s="4" t="s">
        <v>21</v>
      </c>
      <c r="L49" s="4" t="s">
        <v>27</v>
      </c>
      <c r="M49" s="3">
        <v>44579</v>
      </c>
      <c r="N49" s="5">
        <v>449.95</v>
      </c>
    </row>
    <row r="50" spans="1:14" ht="15" thickBot="1">
      <c r="A50" s="2" t="s">
        <v>165</v>
      </c>
      <c r="B50" s="3">
        <v>45459</v>
      </c>
      <c r="C50" s="4" t="s">
        <v>99</v>
      </c>
      <c r="D50" s="4" t="s">
        <v>100</v>
      </c>
      <c r="E50" s="4" t="s">
        <v>117</v>
      </c>
      <c r="F50" s="4" t="s">
        <v>118</v>
      </c>
      <c r="G50" s="4" t="s">
        <v>19</v>
      </c>
      <c r="H50" s="4">
        <v>2</v>
      </c>
      <c r="I50" s="4">
        <v>89.99</v>
      </c>
      <c r="J50" s="4" t="s">
        <v>26</v>
      </c>
      <c r="K50" s="4" t="s">
        <v>35</v>
      </c>
      <c r="L50" s="4" t="s">
        <v>27</v>
      </c>
      <c r="M50" s="3">
        <v>44471</v>
      </c>
      <c r="N50" s="5">
        <v>179.98</v>
      </c>
    </row>
    <row r="51" spans="1:14" ht="15" thickBot="1">
      <c r="A51" s="2" t="s">
        <v>166</v>
      </c>
      <c r="B51" s="3">
        <v>45459</v>
      </c>
      <c r="C51" s="4" t="s">
        <v>15</v>
      </c>
      <c r="D51" s="4" t="s">
        <v>16</v>
      </c>
      <c r="E51" s="4" t="s">
        <v>61</v>
      </c>
      <c r="F51" s="4" t="s">
        <v>62</v>
      </c>
      <c r="G51" s="4" t="s">
        <v>19</v>
      </c>
      <c r="H51" s="4">
        <v>5</v>
      </c>
      <c r="I51" s="4">
        <v>899.99</v>
      </c>
      <c r="J51" s="4" t="s">
        <v>26</v>
      </c>
      <c r="K51" s="4" t="s">
        <v>35</v>
      </c>
      <c r="L51" s="4" t="s">
        <v>36</v>
      </c>
      <c r="M51" s="3">
        <v>44974</v>
      </c>
      <c r="N51" s="5">
        <v>4499.95</v>
      </c>
    </row>
    <row r="52" spans="1:14" ht="15" thickBot="1">
      <c r="A52" s="2" t="s">
        <v>167</v>
      </c>
      <c r="B52" s="3">
        <v>45459</v>
      </c>
      <c r="C52" s="4" t="s">
        <v>123</v>
      </c>
      <c r="D52" s="4" t="s">
        <v>124</v>
      </c>
      <c r="E52" s="4" t="s">
        <v>61</v>
      </c>
      <c r="F52" s="4" t="s">
        <v>62</v>
      </c>
      <c r="G52" s="4" t="s">
        <v>19</v>
      </c>
      <c r="H52" s="4">
        <v>5</v>
      </c>
      <c r="I52" s="4">
        <v>899.99</v>
      </c>
      <c r="J52" s="4" t="s">
        <v>34</v>
      </c>
      <c r="K52" s="4" t="s">
        <v>63</v>
      </c>
      <c r="L52" s="4" t="s">
        <v>27</v>
      </c>
      <c r="M52" s="3">
        <v>45278</v>
      </c>
      <c r="N52" s="5">
        <v>4499.95</v>
      </c>
    </row>
    <row r="53" spans="1:14" ht="15" thickBot="1">
      <c r="A53" s="2" t="s">
        <v>168</v>
      </c>
      <c r="B53" s="3">
        <v>45460</v>
      </c>
      <c r="C53" s="4" t="s">
        <v>158</v>
      </c>
      <c r="D53" s="4" t="s">
        <v>159</v>
      </c>
      <c r="E53" s="4" t="s">
        <v>31</v>
      </c>
      <c r="F53" s="4" t="s">
        <v>32</v>
      </c>
      <c r="G53" s="4" t="s">
        <v>33</v>
      </c>
      <c r="H53" s="4">
        <v>1</v>
      </c>
      <c r="I53" s="4">
        <v>59.99</v>
      </c>
      <c r="J53" s="4" t="s">
        <v>57</v>
      </c>
      <c r="K53" s="4" t="s">
        <v>50</v>
      </c>
      <c r="L53" s="4" t="s">
        <v>27</v>
      </c>
      <c r="M53" s="3">
        <v>45190</v>
      </c>
      <c r="N53" s="5">
        <v>59.99</v>
      </c>
    </row>
    <row r="54" spans="1:14" ht="15" thickBot="1">
      <c r="A54" s="2" t="s">
        <v>169</v>
      </c>
      <c r="B54" s="3">
        <v>45460</v>
      </c>
      <c r="C54" s="4" t="s">
        <v>141</v>
      </c>
      <c r="D54" s="4" t="s">
        <v>142</v>
      </c>
      <c r="E54" s="4" t="s">
        <v>105</v>
      </c>
      <c r="F54" s="4" t="s">
        <v>106</v>
      </c>
      <c r="G54" s="4" t="s">
        <v>46</v>
      </c>
      <c r="H54" s="4">
        <v>2</v>
      </c>
      <c r="I54" s="4">
        <v>299.99</v>
      </c>
      <c r="J54" s="4" t="s">
        <v>57</v>
      </c>
      <c r="K54" s="4" t="s">
        <v>63</v>
      </c>
      <c r="L54" s="4" t="s">
        <v>36</v>
      </c>
      <c r="M54" s="3">
        <v>45253</v>
      </c>
      <c r="N54" s="5">
        <v>599.98</v>
      </c>
    </row>
    <row r="55" spans="1:14" ht="15" thickBot="1">
      <c r="A55" s="2" t="s">
        <v>170</v>
      </c>
      <c r="B55" s="3">
        <v>45468</v>
      </c>
      <c r="C55" s="4" t="s">
        <v>171</v>
      </c>
      <c r="D55" s="4" t="s">
        <v>172</v>
      </c>
      <c r="E55" s="4" t="s">
        <v>117</v>
      </c>
      <c r="F55" s="4" t="s">
        <v>118</v>
      </c>
      <c r="G55" s="4" t="s">
        <v>19</v>
      </c>
      <c r="H55" s="4">
        <v>4</v>
      </c>
      <c r="I55" s="4">
        <v>89.99</v>
      </c>
      <c r="J55" s="4" t="s">
        <v>57</v>
      </c>
      <c r="K55" s="4" t="s">
        <v>35</v>
      </c>
      <c r="L55" s="4" t="s">
        <v>22</v>
      </c>
      <c r="M55" s="3">
        <v>45281</v>
      </c>
      <c r="N55" s="5">
        <v>359.96</v>
      </c>
    </row>
    <row r="56" spans="1:14" ht="15" thickBot="1">
      <c r="A56" s="2" t="s">
        <v>173</v>
      </c>
      <c r="B56" s="3">
        <v>45469</v>
      </c>
      <c r="C56" s="4" t="s">
        <v>29</v>
      </c>
      <c r="D56" s="4" t="s">
        <v>30</v>
      </c>
      <c r="E56" s="4" t="s">
        <v>114</v>
      </c>
      <c r="F56" s="4" t="s">
        <v>115</v>
      </c>
      <c r="G56" s="4" t="s">
        <v>33</v>
      </c>
      <c r="H56" s="4">
        <v>1</v>
      </c>
      <c r="I56" s="4">
        <v>79.989999999999995</v>
      </c>
      <c r="J56" s="4" t="s">
        <v>34</v>
      </c>
      <c r="K56" s="4" t="s">
        <v>21</v>
      </c>
      <c r="L56" s="4" t="s">
        <v>27</v>
      </c>
      <c r="M56" s="3">
        <v>45352</v>
      </c>
      <c r="N56" s="5">
        <v>79.989999999999995</v>
      </c>
    </row>
    <row r="57" spans="1:14" ht="15" thickBot="1">
      <c r="A57" s="2" t="s">
        <v>174</v>
      </c>
      <c r="B57" s="3">
        <v>45469</v>
      </c>
      <c r="C57" s="4" t="s">
        <v>59</v>
      </c>
      <c r="D57" s="4" t="s">
        <v>60</v>
      </c>
      <c r="E57" s="4" t="s">
        <v>117</v>
      </c>
      <c r="F57" s="4" t="s">
        <v>118</v>
      </c>
      <c r="G57" s="4" t="s">
        <v>19</v>
      </c>
      <c r="H57" s="4">
        <v>2</v>
      </c>
      <c r="I57" s="4">
        <v>89.99</v>
      </c>
      <c r="J57" s="4" t="s">
        <v>20</v>
      </c>
      <c r="K57" s="4" t="s">
        <v>50</v>
      </c>
      <c r="L57" s="4" t="s">
        <v>22</v>
      </c>
      <c r="M57" s="3">
        <v>44438</v>
      </c>
      <c r="N57" s="5">
        <v>179.98</v>
      </c>
    </row>
    <row r="58" spans="1:14" ht="15" thickBot="1">
      <c r="A58" s="2" t="s">
        <v>175</v>
      </c>
      <c r="B58" s="3">
        <v>45471</v>
      </c>
      <c r="C58" s="4" t="s">
        <v>38</v>
      </c>
      <c r="D58" s="4" t="s">
        <v>39</v>
      </c>
      <c r="E58" s="4" t="s">
        <v>80</v>
      </c>
      <c r="F58" s="4" t="s">
        <v>81</v>
      </c>
      <c r="G58" s="4" t="s">
        <v>19</v>
      </c>
      <c r="H58" s="4">
        <v>3</v>
      </c>
      <c r="I58" s="4">
        <v>699.99</v>
      </c>
      <c r="J58" s="4" t="s">
        <v>26</v>
      </c>
      <c r="K58" s="4" t="s">
        <v>63</v>
      </c>
      <c r="L58" s="4" t="s">
        <v>27</v>
      </c>
      <c r="M58" s="3">
        <v>45102</v>
      </c>
      <c r="N58" s="5">
        <v>2099.9699999999998</v>
      </c>
    </row>
    <row r="59" spans="1:14" ht="15" thickBot="1">
      <c r="A59" s="2" t="s">
        <v>176</v>
      </c>
      <c r="B59" s="3">
        <v>45471</v>
      </c>
      <c r="C59" s="4" t="s">
        <v>99</v>
      </c>
      <c r="D59" s="4" t="s">
        <v>100</v>
      </c>
      <c r="E59" s="4" t="s">
        <v>61</v>
      </c>
      <c r="F59" s="4" t="s">
        <v>62</v>
      </c>
      <c r="G59" s="4" t="s">
        <v>19</v>
      </c>
      <c r="H59" s="4">
        <v>4</v>
      </c>
      <c r="I59" s="4">
        <v>899.99</v>
      </c>
      <c r="J59" s="4" t="s">
        <v>26</v>
      </c>
      <c r="K59" s="4" t="s">
        <v>63</v>
      </c>
      <c r="L59" s="4" t="s">
        <v>27</v>
      </c>
      <c r="M59" s="3">
        <v>44993</v>
      </c>
      <c r="N59" s="5">
        <v>3599.96</v>
      </c>
    </row>
    <row r="60" spans="1:14" ht="15" thickBot="1">
      <c r="A60" s="2" t="s">
        <v>177</v>
      </c>
      <c r="B60" s="3">
        <v>45472</v>
      </c>
      <c r="C60" s="4" t="s">
        <v>120</v>
      </c>
      <c r="D60" s="4" t="s">
        <v>121</v>
      </c>
      <c r="E60" s="4" t="s">
        <v>44</v>
      </c>
      <c r="F60" s="4" t="s">
        <v>45</v>
      </c>
      <c r="G60" s="4" t="s">
        <v>46</v>
      </c>
      <c r="H60" s="4">
        <v>1</v>
      </c>
      <c r="I60" s="4">
        <v>149.99</v>
      </c>
      <c r="J60" s="4" t="s">
        <v>34</v>
      </c>
      <c r="K60" s="4" t="s">
        <v>63</v>
      </c>
      <c r="L60" s="4" t="s">
        <v>22</v>
      </c>
      <c r="M60" s="3">
        <v>44851</v>
      </c>
      <c r="N60" s="5">
        <v>149.99</v>
      </c>
    </row>
    <row r="61" spans="1:14" ht="15" thickBot="1">
      <c r="A61" s="2" t="s">
        <v>178</v>
      </c>
      <c r="B61" s="3">
        <v>45474</v>
      </c>
      <c r="C61" s="4" t="s">
        <v>132</v>
      </c>
      <c r="D61" s="4" t="s">
        <v>133</v>
      </c>
      <c r="E61" s="4" t="s">
        <v>117</v>
      </c>
      <c r="F61" s="4" t="s">
        <v>118</v>
      </c>
      <c r="G61" s="4" t="s">
        <v>19</v>
      </c>
      <c r="H61" s="4">
        <v>2</v>
      </c>
      <c r="I61" s="4">
        <v>89.99</v>
      </c>
      <c r="J61" s="4" t="s">
        <v>34</v>
      </c>
      <c r="K61" s="4" t="s">
        <v>21</v>
      </c>
      <c r="L61" s="4" t="s">
        <v>27</v>
      </c>
      <c r="M61" s="3">
        <v>45275</v>
      </c>
      <c r="N61" s="5">
        <v>179.98</v>
      </c>
    </row>
    <row r="62" spans="1:14" ht="15" thickBot="1">
      <c r="A62" s="2" t="s">
        <v>179</v>
      </c>
      <c r="B62" s="3">
        <v>45475</v>
      </c>
      <c r="C62" s="4" t="s">
        <v>55</v>
      </c>
      <c r="D62" s="4" t="s">
        <v>56</v>
      </c>
      <c r="E62" s="4" t="s">
        <v>117</v>
      </c>
      <c r="F62" s="4" t="s">
        <v>118</v>
      </c>
      <c r="G62" s="4" t="s">
        <v>19</v>
      </c>
      <c r="H62" s="4">
        <v>1</v>
      </c>
      <c r="I62" s="4">
        <v>89.99</v>
      </c>
      <c r="J62" s="4" t="s">
        <v>34</v>
      </c>
      <c r="K62" s="4" t="s">
        <v>50</v>
      </c>
      <c r="L62" s="4" t="s">
        <v>36</v>
      </c>
      <c r="M62" s="3">
        <v>44802</v>
      </c>
      <c r="N62" s="5">
        <v>89.99</v>
      </c>
    </row>
    <row r="63" spans="1:14" ht="15" thickBot="1">
      <c r="A63" s="2" t="s">
        <v>180</v>
      </c>
      <c r="B63" s="3">
        <v>45476</v>
      </c>
      <c r="C63" s="4" t="s">
        <v>68</v>
      </c>
      <c r="D63" s="4" t="s">
        <v>69</v>
      </c>
      <c r="E63" s="4" t="s">
        <v>117</v>
      </c>
      <c r="F63" s="4" t="s">
        <v>118</v>
      </c>
      <c r="G63" s="4" t="s">
        <v>19</v>
      </c>
      <c r="H63" s="4">
        <v>1</v>
      </c>
      <c r="I63" s="4">
        <v>89.99</v>
      </c>
      <c r="J63" s="4" t="s">
        <v>20</v>
      </c>
      <c r="K63" s="4" t="s">
        <v>35</v>
      </c>
      <c r="L63" s="4" t="s">
        <v>36</v>
      </c>
      <c r="M63" s="3">
        <v>44611</v>
      </c>
      <c r="N63" s="5">
        <v>89.99</v>
      </c>
    </row>
    <row r="64" spans="1:14" ht="15" thickBot="1">
      <c r="A64" s="2" t="s">
        <v>181</v>
      </c>
      <c r="B64" s="3">
        <v>45476</v>
      </c>
      <c r="C64" s="4" t="s">
        <v>182</v>
      </c>
      <c r="D64" s="4" t="s">
        <v>183</v>
      </c>
      <c r="E64" s="4" t="s">
        <v>114</v>
      </c>
      <c r="F64" s="4" t="s">
        <v>115</v>
      </c>
      <c r="G64" s="4" t="s">
        <v>33</v>
      </c>
      <c r="H64" s="4">
        <v>5</v>
      </c>
      <c r="I64" s="4">
        <v>79.989999999999995</v>
      </c>
      <c r="J64" s="4" t="s">
        <v>57</v>
      </c>
      <c r="K64" s="4" t="s">
        <v>21</v>
      </c>
      <c r="L64" s="4" t="s">
        <v>22</v>
      </c>
      <c r="M64" s="3">
        <v>44981</v>
      </c>
      <c r="N64" s="5">
        <v>399.95</v>
      </c>
    </row>
    <row r="65" spans="1:14" ht="15" thickBot="1">
      <c r="A65" s="2" t="s">
        <v>184</v>
      </c>
      <c r="B65" s="3">
        <v>45481</v>
      </c>
      <c r="C65" s="4" t="s">
        <v>185</v>
      </c>
      <c r="D65" s="4" t="s">
        <v>186</v>
      </c>
      <c r="E65" s="4" t="s">
        <v>44</v>
      </c>
      <c r="F65" s="4" t="s">
        <v>45</v>
      </c>
      <c r="G65" s="4" t="s">
        <v>46</v>
      </c>
      <c r="H65" s="4">
        <v>1</v>
      </c>
      <c r="I65" s="4">
        <v>149.99</v>
      </c>
      <c r="J65" s="4" t="s">
        <v>34</v>
      </c>
      <c r="K65" s="4" t="s">
        <v>40</v>
      </c>
      <c r="L65" s="4" t="s">
        <v>22</v>
      </c>
      <c r="M65" s="3">
        <v>44421</v>
      </c>
      <c r="N65" s="5">
        <v>149.99</v>
      </c>
    </row>
    <row r="66" spans="1:14" ht="15" thickBot="1">
      <c r="A66" s="2" t="s">
        <v>187</v>
      </c>
      <c r="B66" s="3">
        <v>45481</v>
      </c>
      <c r="C66" s="4" t="s">
        <v>42</v>
      </c>
      <c r="D66" s="4" t="s">
        <v>43</v>
      </c>
      <c r="E66" s="4" t="s">
        <v>80</v>
      </c>
      <c r="F66" s="4" t="s">
        <v>81</v>
      </c>
      <c r="G66" s="4" t="s">
        <v>19</v>
      </c>
      <c r="H66" s="4">
        <v>2</v>
      </c>
      <c r="I66" s="4">
        <v>699.99</v>
      </c>
      <c r="J66" s="4" t="s">
        <v>34</v>
      </c>
      <c r="K66" s="4" t="s">
        <v>63</v>
      </c>
      <c r="L66" s="4" t="s">
        <v>27</v>
      </c>
      <c r="M66" s="3">
        <v>45389</v>
      </c>
      <c r="N66" s="5">
        <v>1399.98</v>
      </c>
    </row>
    <row r="67" spans="1:14" ht="15" thickBot="1">
      <c r="A67" s="2" t="s">
        <v>188</v>
      </c>
      <c r="B67" s="3">
        <v>45481</v>
      </c>
      <c r="C67" s="4" t="s">
        <v>96</v>
      </c>
      <c r="D67" s="4" t="s">
        <v>97</v>
      </c>
      <c r="E67" s="4" t="s">
        <v>117</v>
      </c>
      <c r="F67" s="4" t="s">
        <v>118</v>
      </c>
      <c r="G67" s="4" t="s">
        <v>19</v>
      </c>
      <c r="H67" s="4">
        <v>5</v>
      </c>
      <c r="I67" s="4">
        <v>89.99</v>
      </c>
      <c r="J67" s="4" t="s">
        <v>57</v>
      </c>
      <c r="K67" s="4" t="s">
        <v>40</v>
      </c>
      <c r="L67" s="4" t="s">
        <v>27</v>
      </c>
      <c r="M67" s="3">
        <v>45161</v>
      </c>
      <c r="N67" s="5">
        <v>449.95</v>
      </c>
    </row>
    <row r="68" spans="1:14" ht="15" thickBot="1">
      <c r="A68" s="2" t="s">
        <v>189</v>
      </c>
      <c r="B68" s="3">
        <v>45482</v>
      </c>
      <c r="C68" s="4" t="s">
        <v>171</v>
      </c>
      <c r="D68" s="4" t="s">
        <v>172</v>
      </c>
      <c r="E68" s="4" t="s">
        <v>31</v>
      </c>
      <c r="F68" s="4" t="s">
        <v>32</v>
      </c>
      <c r="G68" s="4" t="s">
        <v>33</v>
      </c>
      <c r="H68" s="4">
        <v>4</v>
      </c>
      <c r="I68" s="4">
        <v>59.99</v>
      </c>
      <c r="J68" s="4" t="s">
        <v>20</v>
      </c>
      <c r="K68" s="4" t="s">
        <v>35</v>
      </c>
      <c r="L68" s="4" t="s">
        <v>36</v>
      </c>
      <c r="M68" s="3">
        <v>44509</v>
      </c>
      <c r="N68" s="5">
        <v>239.96</v>
      </c>
    </row>
    <row r="69" spans="1:14" ht="15" thickBot="1">
      <c r="A69" s="2" t="s">
        <v>190</v>
      </c>
      <c r="B69" s="3">
        <v>45484</v>
      </c>
      <c r="C69" s="4" t="s">
        <v>24</v>
      </c>
      <c r="D69" s="4" t="s">
        <v>25</v>
      </c>
      <c r="E69" s="4" t="s">
        <v>52</v>
      </c>
      <c r="F69" s="4" t="s">
        <v>53</v>
      </c>
      <c r="G69" s="4" t="s">
        <v>19</v>
      </c>
      <c r="H69" s="4">
        <v>1</v>
      </c>
      <c r="I69" s="4">
        <v>149.99</v>
      </c>
      <c r="J69" s="4" t="s">
        <v>20</v>
      </c>
      <c r="K69" s="4" t="s">
        <v>21</v>
      </c>
      <c r="L69" s="4" t="s">
        <v>36</v>
      </c>
      <c r="M69" s="3">
        <v>44909</v>
      </c>
      <c r="N69" s="5">
        <v>149.99</v>
      </c>
    </row>
    <row r="70" spans="1:14" ht="15" thickBot="1">
      <c r="A70" s="2" t="s">
        <v>191</v>
      </c>
      <c r="B70" s="3">
        <v>45484</v>
      </c>
      <c r="C70" s="4" t="s">
        <v>192</v>
      </c>
      <c r="D70" s="4" t="s">
        <v>193</v>
      </c>
      <c r="E70" s="4" t="s">
        <v>105</v>
      </c>
      <c r="F70" s="4" t="s">
        <v>106</v>
      </c>
      <c r="G70" s="4" t="s">
        <v>46</v>
      </c>
      <c r="H70" s="4">
        <v>1</v>
      </c>
      <c r="I70" s="4">
        <v>299.99</v>
      </c>
      <c r="J70" s="4" t="s">
        <v>26</v>
      </c>
      <c r="K70" s="4" t="s">
        <v>40</v>
      </c>
      <c r="L70" s="4" t="s">
        <v>27</v>
      </c>
      <c r="M70" s="3">
        <v>44891</v>
      </c>
      <c r="N70" s="5">
        <v>299.99</v>
      </c>
    </row>
    <row r="71" spans="1:14" ht="15" thickBot="1">
      <c r="A71" s="2" t="s">
        <v>194</v>
      </c>
      <c r="B71" s="3">
        <v>45487</v>
      </c>
      <c r="C71" s="4" t="s">
        <v>192</v>
      </c>
      <c r="D71" s="4" t="s">
        <v>193</v>
      </c>
      <c r="E71" s="4" t="s">
        <v>126</v>
      </c>
      <c r="F71" s="4" t="s">
        <v>127</v>
      </c>
      <c r="G71" s="4" t="s">
        <v>46</v>
      </c>
      <c r="H71" s="4">
        <v>2</v>
      </c>
      <c r="I71" s="4">
        <v>199.99</v>
      </c>
      <c r="J71" s="4" t="s">
        <v>20</v>
      </c>
      <c r="K71" s="4" t="s">
        <v>40</v>
      </c>
      <c r="L71" s="4" t="s">
        <v>22</v>
      </c>
      <c r="M71" s="3">
        <v>44541</v>
      </c>
      <c r="N71" s="5">
        <v>399.98</v>
      </c>
    </row>
    <row r="72" spans="1:14" ht="15" thickBot="1">
      <c r="A72" s="2" t="s">
        <v>195</v>
      </c>
      <c r="B72" s="3">
        <v>45490</v>
      </c>
      <c r="C72" s="4" t="s">
        <v>196</v>
      </c>
      <c r="D72" s="4" t="s">
        <v>197</v>
      </c>
      <c r="E72" s="4" t="s">
        <v>31</v>
      </c>
      <c r="F72" s="4" t="s">
        <v>32</v>
      </c>
      <c r="G72" s="4" t="s">
        <v>33</v>
      </c>
      <c r="H72" s="4">
        <v>3</v>
      </c>
      <c r="I72" s="4">
        <v>59.99</v>
      </c>
      <c r="J72" s="4" t="s">
        <v>26</v>
      </c>
      <c r="K72" s="4" t="s">
        <v>50</v>
      </c>
      <c r="L72" s="4" t="s">
        <v>22</v>
      </c>
      <c r="M72" s="3">
        <v>45130</v>
      </c>
      <c r="N72" s="5">
        <v>179.97</v>
      </c>
    </row>
    <row r="73" spans="1:14" ht="15" thickBot="1">
      <c r="A73" s="2" t="s">
        <v>198</v>
      </c>
      <c r="B73" s="3">
        <v>45490</v>
      </c>
      <c r="C73" s="4" t="s">
        <v>72</v>
      </c>
      <c r="D73" s="4" t="s">
        <v>73</v>
      </c>
      <c r="E73" s="4" t="s">
        <v>44</v>
      </c>
      <c r="F73" s="4" t="s">
        <v>45</v>
      </c>
      <c r="G73" s="4" t="s">
        <v>46</v>
      </c>
      <c r="H73" s="4">
        <v>3</v>
      </c>
      <c r="I73" s="4">
        <v>149.99</v>
      </c>
      <c r="J73" s="4" t="s">
        <v>20</v>
      </c>
      <c r="K73" s="4" t="s">
        <v>21</v>
      </c>
      <c r="L73" s="4" t="s">
        <v>27</v>
      </c>
      <c r="M73" s="3">
        <v>45199</v>
      </c>
      <c r="N73" s="5">
        <v>449.97</v>
      </c>
    </row>
    <row r="74" spans="1:14" ht="15" thickBot="1">
      <c r="A74" s="2" t="s">
        <v>199</v>
      </c>
      <c r="B74" s="3">
        <v>45491</v>
      </c>
      <c r="C74" s="4" t="s">
        <v>65</v>
      </c>
      <c r="D74" s="4" t="s">
        <v>66</v>
      </c>
      <c r="E74" s="4" t="s">
        <v>126</v>
      </c>
      <c r="F74" s="4" t="s">
        <v>127</v>
      </c>
      <c r="G74" s="4" t="s">
        <v>46</v>
      </c>
      <c r="H74" s="4">
        <v>3</v>
      </c>
      <c r="I74" s="4">
        <v>199.99</v>
      </c>
      <c r="J74" s="4" t="s">
        <v>20</v>
      </c>
      <c r="K74" s="4" t="s">
        <v>40</v>
      </c>
      <c r="L74" s="4" t="s">
        <v>27</v>
      </c>
      <c r="M74" s="3">
        <v>45254</v>
      </c>
      <c r="N74" s="5">
        <v>599.97</v>
      </c>
    </row>
    <row r="75" spans="1:14" ht="15" thickBot="1">
      <c r="A75" s="2" t="s">
        <v>200</v>
      </c>
      <c r="B75" s="3">
        <v>45496</v>
      </c>
      <c r="C75" s="4" t="s">
        <v>150</v>
      </c>
      <c r="D75" s="4" t="s">
        <v>151</v>
      </c>
      <c r="E75" s="4" t="s">
        <v>61</v>
      </c>
      <c r="F75" s="4" t="s">
        <v>62</v>
      </c>
      <c r="G75" s="4" t="s">
        <v>19</v>
      </c>
      <c r="H75" s="4">
        <v>1</v>
      </c>
      <c r="I75" s="4">
        <v>899.99</v>
      </c>
      <c r="J75" s="4" t="s">
        <v>20</v>
      </c>
      <c r="K75" s="4" t="s">
        <v>21</v>
      </c>
      <c r="L75" s="4" t="s">
        <v>36</v>
      </c>
      <c r="M75" s="3">
        <v>45179</v>
      </c>
      <c r="N75" s="5">
        <v>899.99</v>
      </c>
    </row>
    <row r="76" spans="1:14" ht="15" thickBot="1">
      <c r="A76" s="2" t="s">
        <v>201</v>
      </c>
      <c r="B76" s="3">
        <v>45497</v>
      </c>
      <c r="C76" s="4" t="s">
        <v>24</v>
      </c>
      <c r="D76" s="4" t="s">
        <v>25</v>
      </c>
      <c r="E76" s="4" t="s">
        <v>61</v>
      </c>
      <c r="F76" s="4" t="s">
        <v>62</v>
      </c>
      <c r="G76" s="4" t="s">
        <v>19</v>
      </c>
      <c r="H76" s="4">
        <v>5</v>
      </c>
      <c r="I76" s="4">
        <v>899.99</v>
      </c>
      <c r="J76" s="4" t="s">
        <v>57</v>
      </c>
      <c r="K76" s="4" t="s">
        <v>35</v>
      </c>
      <c r="L76" s="4" t="s">
        <v>36</v>
      </c>
      <c r="M76" s="3">
        <v>44899</v>
      </c>
      <c r="N76" s="5">
        <v>4499.95</v>
      </c>
    </row>
    <row r="77" spans="1:14" ht="15" thickBot="1">
      <c r="A77" s="2" t="s">
        <v>202</v>
      </c>
      <c r="B77" s="3">
        <v>45498</v>
      </c>
      <c r="C77" s="4" t="s">
        <v>182</v>
      </c>
      <c r="D77" s="4" t="s">
        <v>183</v>
      </c>
      <c r="E77" s="4" t="s">
        <v>31</v>
      </c>
      <c r="F77" s="4" t="s">
        <v>32</v>
      </c>
      <c r="G77" s="4" t="s">
        <v>33</v>
      </c>
      <c r="H77" s="4">
        <v>2</v>
      </c>
      <c r="I77" s="4">
        <v>59.99</v>
      </c>
      <c r="J77" s="4" t="s">
        <v>20</v>
      </c>
      <c r="K77" s="4" t="s">
        <v>40</v>
      </c>
      <c r="L77" s="4" t="s">
        <v>36</v>
      </c>
      <c r="M77" s="3">
        <v>45152</v>
      </c>
      <c r="N77" s="5">
        <v>119.98</v>
      </c>
    </row>
    <row r="78" spans="1:14" ht="15" thickBot="1">
      <c r="A78" s="2" t="s">
        <v>203</v>
      </c>
      <c r="B78" s="3">
        <v>45498</v>
      </c>
      <c r="C78" s="4" t="s">
        <v>196</v>
      </c>
      <c r="D78" s="4" t="s">
        <v>197</v>
      </c>
      <c r="E78" s="4" t="s">
        <v>17</v>
      </c>
      <c r="F78" s="4" t="s">
        <v>18</v>
      </c>
      <c r="G78" s="4" t="s">
        <v>19</v>
      </c>
      <c r="H78" s="4">
        <v>4</v>
      </c>
      <c r="I78" s="4">
        <v>249.99</v>
      </c>
      <c r="J78" s="4" t="s">
        <v>57</v>
      </c>
      <c r="K78" s="4" t="s">
        <v>21</v>
      </c>
      <c r="L78" s="4" t="s">
        <v>36</v>
      </c>
      <c r="M78" s="3">
        <v>45127</v>
      </c>
      <c r="N78" s="5">
        <v>999.96</v>
      </c>
    </row>
    <row r="79" spans="1:14" ht="15" thickBot="1">
      <c r="A79" s="2" t="s">
        <v>204</v>
      </c>
      <c r="B79" s="3">
        <v>45500</v>
      </c>
      <c r="C79" s="4" t="s">
        <v>96</v>
      </c>
      <c r="D79" s="4" t="s">
        <v>97</v>
      </c>
      <c r="E79" s="4" t="s">
        <v>17</v>
      </c>
      <c r="F79" s="4" t="s">
        <v>18</v>
      </c>
      <c r="G79" s="4" t="s">
        <v>19</v>
      </c>
      <c r="H79" s="4">
        <v>2</v>
      </c>
      <c r="I79" s="4">
        <v>249.99</v>
      </c>
      <c r="J79" s="4" t="s">
        <v>20</v>
      </c>
      <c r="K79" s="4" t="s">
        <v>40</v>
      </c>
      <c r="L79" s="4" t="s">
        <v>27</v>
      </c>
      <c r="M79" s="3">
        <v>45164</v>
      </c>
      <c r="N79" s="5">
        <v>499.98</v>
      </c>
    </row>
    <row r="80" spans="1:14" ht="15" thickBot="1">
      <c r="A80" s="2" t="s">
        <v>205</v>
      </c>
      <c r="B80" s="3">
        <v>45500</v>
      </c>
      <c r="C80" s="4" t="s">
        <v>147</v>
      </c>
      <c r="D80" s="4" t="s">
        <v>148</v>
      </c>
      <c r="E80" s="4" t="s">
        <v>105</v>
      </c>
      <c r="F80" s="4" t="s">
        <v>106</v>
      </c>
      <c r="G80" s="4" t="s">
        <v>46</v>
      </c>
      <c r="H80" s="4">
        <v>1</v>
      </c>
      <c r="I80" s="4">
        <v>299.99</v>
      </c>
      <c r="J80" s="4" t="s">
        <v>20</v>
      </c>
      <c r="K80" s="4" t="s">
        <v>35</v>
      </c>
      <c r="L80" s="4" t="s">
        <v>22</v>
      </c>
      <c r="M80" s="3">
        <v>44982</v>
      </c>
      <c r="N80" s="5">
        <v>299.99</v>
      </c>
    </row>
    <row r="81" spans="1:14" ht="15" thickBot="1">
      <c r="A81" s="2" t="s">
        <v>206</v>
      </c>
      <c r="B81" s="3">
        <v>45501</v>
      </c>
      <c r="C81" s="4" t="s">
        <v>86</v>
      </c>
      <c r="D81" s="4" t="s">
        <v>87</v>
      </c>
      <c r="E81" s="4" t="s">
        <v>117</v>
      </c>
      <c r="F81" s="4" t="s">
        <v>118</v>
      </c>
      <c r="G81" s="4" t="s">
        <v>19</v>
      </c>
      <c r="H81" s="4">
        <v>2</v>
      </c>
      <c r="I81" s="4">
        <v>89.99</v>
      </c>
      <c r="J81" s="4" t="s">
        <v>34</v>
      </c>
      <c r="K81" s="4" t="s">
        <v>35</v>
      </c>
      <c r="L81" s="4" t="s">
        <v>22</v>
      </c>
      <c r="M81" s="3">
        <v>44976</v>
      </c>
      <c r="N81" s="5">
        <v>179.98</v>
      </c>
    </row>
    <row r="82" spans="1:14" ht="15" thickBot="1">
      <c r="A82" s="2" t="s">
        <v>207</v>
      </c>
      <c r="B82" s="3">
        <v>45501</v>
      </c>
      <c r="C82" s="4" t="s">
        <v>147</v>
      </c>
      <c r="D82" s="4" t="s">
        <v>148</v>
      </c>
      <c r="E82" s="4" t="s">
        <v>105</v>
      </c>
      <c r="F82" s="4" t="s">
        <v>106</v>
      </c>
      <c r="G82" s="4" t="s">
        <v>46</v>
      </c>
      <c r="H82" s="4">
        <v>3</v>
      </c>
      <c r="I82" s="4">
        <v>299.99</v>
      </c>
      <c r="J82" s="4" t="s">
        <v>20</v>
      </c>
      <c r="K82" s="4" t="s">
        <v>21</v>
      </c>
      <c r="L82" s="4" t="s">
        <v>22</v>
      </c>
      <c r="M82" s="3">
        <v>44732</v>
      </c>
      <c r="N82" s="5">
        <v>899.97</v>
      </c>
    </row>
    <row r="83" spans="1:14" ht="15" thickBot="1">
      <c r="A83" s="2" t="s">
        <v>208</v>
      </c>
      <c r="B83" s="3">
        <v>45503</v>
      </c>
      <c r="C83" s="4" t="s">
        <v>86</v>
      </c>
      <c r="D83" s="4" t="s">
        <v>87</v>
      </c>
      <c r="E83" s="4" t="s">
        <v>80</v>
      </c>
      <c r="F83" s="4" t="s">
        <v>81</v>
      </c>
      <c r="G83" s="4" t="s">
        <v>19</v>
      </c>
      <c r="H83" s="4">
        <v>2</v>
      </c>
      <c r="I83" s="4">
        <v>699.99</v>
      </c>
      <c r="J83" s="4" t="s">
        <v>26</v>
      </c>
      <c r="K83" s="4" t="s">
        <v>40</v>
      </c>
      <c r="L83" s="4" t="s">
        <v>27</v>
      </c>
      <c r="M83" s="3">
        <v>44999</v>
      </c>
      <c r="N83" s="5">
        <v>1399.98</v>
      </c>
    </row>
    <row r="84" spans="1:14" ht="15" thickBot="1">
      <c r="A84" s="2" t="s">
        <v>209</v>
      </c>
      <c r="B84" s="3">
        <v>45504</v>
      </c>
      <c r="C84" s="4" t="s">
        <v>120</v>
      </c>
      <c r="D84" s="4" t="s">
        <v>121</v>
      </c>
      <c r="E84" s="4" t="s">
        <v>61</v>
      </c>
      <c r="F84" s="4" t="s">
        <v>62</v>
      </c>
      <c r="G84" s="4" t="s">
        <v>19</v>
      </c>
      <c r="H84" s="4">
        <v>4</v>
      </c>
      <c r="I84" s="4">
        <v>899.99</v>
      </c>
      <c r="J84" s="4" t="s">
        <v>57</v>
      </c>
      <c r="K84" s="4" t="s">
        <v>35</v>
      </c>
      <c r="L84" s="4" t="s">
        <v>36</v>
      </c>
      <c r="M84" s="3">
        <v>44523</v>
      </c>
      <c r="N84" s="5">
        <v>3599.96</v>
      </c>
    </row>
    <row r="85" spans="1:14" ht="15" thickBot="1">
      <c r="A85" s="2" t="s">
        <v>210</v>
      </c>
      <c r="B85" s="3">
        <v>45509</v>
      </c>
      <c r="C85" s="4" t="s">
        <v>211</v>
      </c>
      <c r="D85" s="4" t="s">
        <v>212</v>
      </c>
      <c r="E85" s="4" t="s">
        <v>44</v>
      </c>
      <c r="F85" s="4" t="s">
        <v>45</v>
      </c>
      <c r="G85" s="4" t="s">
        <v>46</v>
      </c>
      <c r="H85" s="4">
        <v>2</v>
      </c>
      <c r="I85" s="4">
        <v>149.99</v>
      </c>
      <c r="J85" s="4" t="s">
        <v>26</v>
      </c>
      <c r="K85" s="4" t="s">
        <v>50</v>
      </c>
      <c r="L85" s="4" t="s">
        <v>22</v>
      </c>
      <c r="M85" s="3">
        <v>44542</v>
      </c>
      <c r="N85" s="5">
        <v>299.98</v>
      </c>
    </row>
    <row r="86" spans="1:14" ht="15" thickBot="1">
      <c r="A86" s="2" t="s">
        <v>213</v>
      </c>
      <c r="B86" s="3">
        <v>45510</v>
      </c>
      <c r="C86" s="4" t="s">
        <v>102</v>
      </c>
      <c r="D86" s="4" t="s">
        <v>103</v>
      </c>
      <c r="E86" s="4" t="s">
        <v>44</v>
      </c>
      <c r="F86" s="4" t="s">
        <v>45</v>
      </c>
      <c r="G86" s="4" t="s">
        <v>46</v>
      </c>
      <c r="H86" s="4">
        <v>2</v>
      </c>
      <c r="I86" s="4">
        <v>149.99</v>
      </c>
      <c r="J86" s="4" t="s">
        <v>57</v>
      </c>
      <c r="K86" s="4" t="s">
        <v>63</v>
      </c>
      <c r="L86" s="4" t="s">
        <v>36</v>
      </c>
      <c r="M86" s="3">
        <v>44667</v>
      </c>
      <c r="N86" s="5">
        <v>299.98</v>
      </c>
    </row>
    <row r="87" spans="1:14" ht="15" thickBot="1">
      <c r="A87" s="2" t="s">
        <v>214</v>
      </c>
      <c r="B87" s="3">
        <v>45513</v>
      </c>
      <c r="C87" s="4" t="s">
        <v>89</v>
      </c>
      <c r="D87" s="4" t="s">
        <v>90</v>
      </c>
      <c r="E87" s="4" t="s">
        <v>117</v>
      </c>
      <c r="F87" s="4" t="s">
        <v>118</v>
      </c>
      <c r="G87" s="4" t="s">
        <v>19</v>
      </c>
      <c r="H87" s="4">
        <v>1</v>
      </c>
      <c r="I87" s="4">
        <v>89.99</v>
      </c>
      <c r="J87" s="4" t="s">
        <v>26</v>
      </c>
      <c r="K87" s="4" t="s">
        <v>40</v>
      </c>
      <c r="L87" s="4" t="s">
        <v>36</v>
      </c>
      <c r="M87" s="3">
        <v>45393</v>
      </c>
      <c r="N87" s="5">
        <v>89.99</v>
      </c>
    </row>
    <row r="88" spans="1:14" ht="15" thickBot="1">
      <c r="A88" s="2" t="s">
        <v>215</v>
      </c>
      <c r="B88" s="3">
        <v>45515</v>
      </c>
      <c r="C88" s="4" t="s">
        <v>86</v>
      </c>
      <c r="D88" s="4" t="s">
        <v>87</v>
      </c>
      <c r="E88" s="4" t="s">
        <v>105</v>
      </c>
      <c r="F88" s="4" t="s">
        <v>106</v>
      </c>
      <c r="G88" s="4" t="s">
        <v>46</v>
      </c>
      <c r="H88" s="4">
        <v>5</v>
      </c>
      <c r="I88" s="4">
        <v>299.99</v>
      </c>
      <c r="J88" s="4" t="s">
        <v>26</v>
      </c>
      <c r="K88" s="4" t="s">
        <v>40</v>
      </c>
      <c r="L88" s="4" t="s">
        <v>22</v>
      </c>
      <c r="M88" s="3">
        <v>44965</v>
      </c>
      <c r="N88" s="5">
        <v>1499.95</v>
      </c>
    </row>
    <row r="89" spans="1:14" ht="15" thickBot="1">
      <c r="A89" s="2" t="s">
        <v>216</v>
      </c>
      <c r="B89" s="3">
        <v>45517</v>
      </c>
      <c r="C89" s="4" t="s">
        <v>182</v>
      </c>
      <c r="D89" s="4" t="s">
        <v>183</v>
      </c>
      <c r="E89" s="4" t="s">
        <v>52</v>
      </c>
      <c r="F89" s="4" t="s">
        <v>53</v>
      </c>
      <c r="G89" s="4" t="s">
        <v>19</v>
      </c>
      <c r="H89" s="4">
        <v>4</v>
      </c>
      <c r="I89" s="4">
        <v>149.99</v>
      </c>
      <c r="J89" s="4" t="s">
        <v>57</v>
      </c>
      <c r="K89" s="4" t="s">
        <v>35</v>
      </c>
      <c r="L89" s="4" t="s">
        <v>27</v>
      </c>
      <c r="M89" s="3">
        <v>44820</v>
      </c>
      <c r="N89" s="5">
        <v>599.96</v>
      </c>
    </row>
    <row r="90" spans="1:14" ht="15" thickBot="1">
      <c r="A90" s="2" t="s">
        <v>217</v>
      </c>
      <c r="B90" s="3">
        <v>45517</v>
      </c>
      <c r="C90" s="4" t="s">
        <v>185</v>
      </c>
      <c r="D90" s="4" t="s">
        <v>186</v>
      </c>
      <c r="E90" s="4" t="s">
        <v>17</v>
      </c>
      <c r="F90" s="4" t="s">
        <v>18</v>
      </c>
      <c r="G90" s="4" t="s">
        <v>19</v>
      </c>
      <c r="H90" s="4">
        <v>5</v>
      </c>
      <c r="I90" s="4">
        <v>249.99</v>
      </c>
      <c r="J90" s="4" t="s">
        <v>34</v>
      </c>
      <c r="K90" s="4" t="s">
        <v>63</v>
      </c>
      <c r="L90" s="4" t="s">
        <v>27</v>
      </c>
      <c r="M90" s="3">
        <v>44782</v>
      </c>
      <c r="N90" s="5">
        <v>1249.95</v>
      </c>
    </row>
    <row r="91" spans="1:14" ht="15" thickBot="1">
      <c r="A91" s="2" t="s">
        <v>218</v>
      </c>
      <c r="B91" s="3">
        <v>45517</v>
      </c>
      <c r="C91" s="4" t="s">
        <v>65</v>
      </c>
      <c r="D91" s="4" t="s">
        <v>66</v>
      </c>
      <c r="E91" s="4" t="s">
        <v>17</v>
      </c>
      <c r="F91" s="4" t="s">
        <v>18</v>
      </c>
      <c r="G91" s="4" t="s">
        <v>19</v>
      </c>
      <c r="H91" s="4">
        <v>3</v>
      </c>
      <c r="I91" s="4">
        <v>249.99</v>
      </c>
      <c r="J91" s="4" t="s">
        <v>34</v>
      </c>
      <c r="K91" s="4" t="s">
        <v>40</v>
      </c>
      <c r="L91" s="4" t="s">
        <v>27</v>
      </c>
      <c r="M91" s="3">
        <v>44465</v>
      </c>
      <c r="N91" s="5">
        <v>749.97</v>
      </c>
    </row>
    <row r="92" spans="1:14" ht="15" thickBot="1">
      <c r="A92" s="2" t="s">
        <v>219</v>
      </c>
      <c r="B92" s="3">
        <v>45517</v>
      </c>
      <c r="C92" s="4" t="s">
        <v>38</v>
      </c>
      <c r="D92" s="4" t="s">
        <v>39</v>
      </c>
      <c r="E92" s="4" t="s">
        <v>126</v>
      </c>
      <c r="F92" s="4" t="s">
        <v>127</v>
      </c>
      <c r="G92" s="4" t="s">
        <v>46</v>
      </c>
      <c r="H92" s="4">
        <v>4</v>
      </c>
      <c r="I92" s="4">
        <v>199.99</v>
      </c>
      <c r="J92" s="4" t="s">
        <v>20</v>
      </c>
      <c r="K92" s="4" t="s">
        <v>40</v>
      </c>
      <c r="L92" s="4" t="s">
        <v>36</v>
      </c>
      <c r="M92" s="3">
        <v>44458</v>
      </c>
      <c r="N92" s="5">
        <v>799.96</v>
      </c>
    </row>
    <row r="93" spans="1:14" ht="15" thickBot="1">
      <c r="A93" s="2" t="s">
        <v>220</v>
      </c>
      <c r="B93" s="3">
        <v>45519</v>
      </c>
      <c r="C93" s="4" t="s">
        <v>158</v>
      </c>
      <c r="D93" s="4" t="s">
        <v>159</v>
      </c>
      <c r="E93" s="4" t="s">
        <v>126</v>
      </c>
      <c r="F93" s="4" t="s">
        <v>127</v>
      </c>
      <c r="G93" s="4" t="s">
        <v>46</v>
      </c>
      <c r="H93" s="4">
        <v>5</v>
      </c>
      <c r="I93" s="4">
        <v>199.99</v>
      </c>
      <c r="J93" s="4" t="s">
        <v>20</v>
      </c>
      <c r="K93" s="4" t="s">
        <v>40</v>
      </c>
      <c r="L93" s="4" t="s">
        <v>27</v>
      </c>
      <c r="M93" s="3">
        <v>44991</v>
      </c>
      <c r="N93" s="5">
        <v>999.95</v>
      </c>
    </row>
    <row r="94" spans="1:14" ht="15" thickBot="1">
      <c r="A94" s="2" t="s">
        <v>221</v>
      </c>
      <c r="B94" s="3">
        <v>45522</v>
      </c>
      <c r="C94" s="4" t="s">
        <v>86</v>
      </c>
      <c r="D94" s="4" t="s">
        <v>87</v>
      </c>
      <c r="E94" s="4" t="s">
        <v>117</v>
      </c>
      <c r="F94" s="4" t="s">
        <v>118</v>
      </c>
      <c r="G94" s="4" t="s">
        <v>19</v>
      </c>
      <c r="H94" s="4">
        <v>2</v>
      </c>
      <c r="I94" s="4">
        <v>89.99</v>
      </c>
      <c r="J94" s="4" t="s">
        <v>20</v>
      </c>
      <c r="K94" s="4" t="s">
        <v>63</v>
      </c>
      <c r="L94" s="4" t="s">
        <v>27</v>
      </c>
      <c r="M94" s="3">
        <v>44972</v>
      </c>
      <c r="N94" s="5">
        <v>179.98</v>
      </c>
    </row>
    <row r="95" spans="1:14" ht="15" thickBot="1">
      <c r="A95" s="2" t="s">
        <v>222</v>
      </c>
      <c r="B95" s="3">
        <v>45523</v>
      </c>
      <c r="C95" s="4" t="s">
        <v>196</v>
      </c>
      <c r="D95" s="4" t="s">
        <v>197</v>
      </c>
      <c r="E95" s="4" t="s">
        <v>61</v>
      </c>
      <c r="F95" s="4" t="s">
        <v>62</v>
      </c>
      <c r="G95" s="4" t="s">
        <v>19</v>
      </c>
      <c r="H95" s="4">
        <v>5</v>
      </c>
      <c r="I95" s="4">
        <v>899.99</v>
      </c>
      <c r="J95" s="4" t="s">
        <v>57</v>
      </c>
      <c r="K95" s="4" t="s">
        <v>63</v>
      </c>
      <c r="L95" s="4" t="s">
        <v>22</v>
      </c>
      <c r="M95" s="3">
        <v>44526</v>
      </c>
      <c r="N95" s="5">
        <v>4499.95</v>
      </c>
    </row>
    <row r="96" spans="1:14" ht="15" thickBot="1">
      <c r="A96" s="2" t="s">
        <v>223</v>
      </c>
      <c r="B96" s="3">
        <v>45523</v>
      </c>
      <c r="C96" s="4" t="s">
        <v>108</v>
      </c>
      <c r="D96" s="4" t="s">
        <v>109</v>
      </c>
      <c r="E96" s="4" t="s">
        <v>52</v>
      </c>
      <c r="F96" s="4" t="s">
        <v>53</v>
      </c>
      <c r="G96" s="4" t="s">
        <v>19</v>
      </c>
      <c r="H96" s="4">
        <v>3</v>
      </c>
      <c r="I96" s="4">
        <v>149.99</v>
      </c>
      <c r="J96" s="4" t="s">
        <v>34</v>
      </c>
      <c r="K96" s="4" t="s">
        <v>63</v>
      </c>
      <c r="L96" s="4" t="s">
        <v>22</v>
      </c>
      <c r="M96" s="3">
        <v>44574</v>
      </c>
      <c r="N96" s="5">
        <v>449.97</v>
      </c>
    </row>
    <row r="97" spans="1:14" ht="15" thickBot="1">
      <c r="A97" s="2" t="s">
        <v>224</v>
      </c>
      <c r="B97" s="3">
        <v>45526</v>
      </c>
      <c r="C97" s="4" t="s">
        <v>102</v>
      </c>
      <c r="D97" s="4" t="s">
        <v>103</v>
      </c>
      <c r="E97" s="4" t="s">
        <v>44</v>
      </c>
      <c r="F97" s="4" t="s">
        <v>45</v>
      </c>
      <c r="G97" s="4" t="s">
        <v>46</v>
      </c>
      <c r="H97" s="4">
        <v>5</v>
      </c>
      <c r="I97" s="4">
        <v>149.99</v>
      </c>
      <c r="J97" s="4" t="s">
        <v>26</v>
      </c>
      <c r="K97" s="4" t="s">
        <v>21</v>
      </c>
      <c r="L97" s="4" t="s">
        <v>22</v>
      </c>
      <c r="M97" s="3">
        <v>45310</v>
      </c>
      <c r="N97" s="5">
        <v>749.95</v>
      </c>
    </row>
    <row r="98" spans="1:14" ht="15" thickBot="1">
      <c r="A98" s="2" t="s">
        <v>225</v>
      </c>
      <c r="B98" s="3">
        <v>45528</v>
      </c>
      <c r="C98" s="4" t="s">
        <v>226</v>
      </c>
      <c r="D98" s="4" t="s">
        <v>227</v>
      </c>
      <c r="E98" s="4" t="s">
        <v>114</v>
      </c>
      <c r="F98" s="4" t="s">
        <v>115</v>
      </c>
      <c r="G98" s="4" t="s">
        <v>33</v>
      </c>
      <c r="H98" s="4">
        <v>3</v>
      </c>
      <c r="I98" s="4">
        <v>79.989999999999995</v>
      </c>
      <c r="J98" s="4" t="s">
        <v>20</v>
      </c>
      <c r="K98" s="4" t="s">
        <v>21</v>
      </c>
      <c r="L98" s="4" t="s">
        <v>27</v>
      </c>
      <c r="M98" s="3">
        <v>44779</v>
      </c>
      <c r="N98" s="5">
        <v>239.97</v>
      </c>
    </row>
    <row r="99" spans="1:14" ht="15" thickBot="1">
      <c r="A99" s="2" t="s">
        <v>228</v>
      </c>
      <c r="B99" s="3">
        <v>45528</v>
      </c>
      <c r="C99" s="4" t="s">
        <v>144</v>
      </c>
      <c r="D99" s="4" t="s">
        <v>145</v>
      </c>
      <c r="E99" s="4" t="s">
        <v>17</v>
      </c>
      <c r="F99" s="4" t="s">
        <v>18</v>
      </c>
      <c r="G99" s="4" t="s">
        <v>19</v>
      </c>
      <c r="H99" s="4">
        <v>2</v>
      </c>
      <c r="I99" s="4">
        <v>249.99</v>
      </c>
      <c r="J99" s="4" t="s">
        <v>20</v>
      </c>
      <c r="K99" s="4" t="s">
        <v>35</v>
      </c>
      <c r="L99" s="4" t="s">
        <v>36</v>
      </c>
      <c r="M99" s="3">
        <v>44572</v>
      </c>
      <c r="N99" s="5">
        <v>499.98</v>
      </c>
    </row>
    <row r="100" spans="1:14" ht="15" thickBot="1">
      <c r="A100" s="2" t="s">
        <v>229</v>
      </c>
      <c r="B100" s="3">
        <v>45532</v>
      </c>
      <c r="C100" s="4" t="s">
        <v>196</v>
      </c>
      <c r="D100" s="4" t="s">
        <v>197</v>
      </c>
      <c r="E100" s="4" t="s">
        <v>80</v>
      </c>
      <c r="F100" s="4" t="s">
        <v>81</v>
      </c>
      <c r="G100" s="4" t="s">
        <v>19</v>
      </c>
      <c r="H100" s="4">
        <v>1</v>
      </c>
      <c r="I100" s="4">
        <v>699.99</v>
      </c>
      <c r="J100" s="4" t="s">
        <v>20</v>
      </c>
      <c r="K100" s="4" t="s">
        <v>21</v>
      </c>
      <c r="L100" s="4" t="s">
        <v>27</v>
      </c>
      <c r="M100" s="3">
        <v>44497</v>
      </c>
      <c r="N100" s="5">
        <v>699.99</v>
      </c>
    </row>
    <row r="101" spans="1:14" ht="15" thickBot="1">
      <c r="A101" s="2" t="s">
        <v>230</v>
      </c>
      <c r="B101" s="3">
        <v>45532</v>
      </c>
      <c r="C101" s="4" t="s">
        <v>231</v>
      </c>
      <c r="D101" s="4" t="s">
        <v>232</v>
      </c>
      <c r="E101" s="4" t="s">
        <v>52</v>
      </c>
      <c r="F101" s="4" t="s">
        <v>53</v>
      </c>
      <c r="G101" s="4" t="s">
        <v>19</v>
      </c>
      <c r="H101" s="4">
        <v>3</v>
      </c>
      <c r="I101" s="4">
        <v>149.99</v>
      </c>
      <c r="J101" s="4" t="s">
        <v>20</v>
      </c>
      <c r="K101" s="4" t="s">
        <v>50</v>
      </c>
      <c r="L101" s="4" t="s">
        <v>27</v>
      </c>
      <c r="M101" s="3">
        <v>45212</v>
      </c>
      <c r="N101" s="5">
        <v>449.97</v>
      </c>
    </row>
    <row r="102" spans="1:14" ht="15" thickBot="1">
      <c r="A102" s="2" t="s">
        <v>233</v>
      </c>
      <c r="B102" s="3">
        <v>45534</v>
      </c>
      <c r="C102" s="4" t="s">
        <v>234</v>
      </c>
      <c r="D102" s="4" t="s">
        <v>235</v>
      </c>
      <c r="E102" s="4" t="s">
        <v>80</v>
      </c>
      <c r="F102" s="4" t="s">
        <v>81</v>
      </c>
      <c r="G102" s="4" t="s">
        <v>19</v>
      </c>
      <c r="H102" s="4">
        <v>2</v>
      </c>
      <c r="I102" s="4">
        <v>699.99</v>
      </c>
      <c r="J102" s="4" t="s">
        <v>26</v>
      </c>
      <c r="K102" s="4" t="s">
        <v>40</v>
      </c>
      <c r="L102" s="4" t="s">
        <v>27</v>
      </c>
      <c r="M102" s="3">
        <v>44421</v>
      </c>
      <c r="N102" s="5">
        <v>1399.98</v>
      </c>
    </row>
    <row r="103" spans="1:14" ht="15" thickBot="1">
      <c r="A103" s="2" t="s">
        <v>236</v>
      </c>
      <c r="B103" s="3">
        <v>45537</v>
      </c>
      <c r="C103" s="4" t="s">
        <v>231</v>
      </c>
      <c r="D103" s="4" t="s">
        <v>232</v>
      </c>
      <c r="E103" s="4" t="s">
        <v>17</v>
      </c>
      <c r="F103" s="4" t="s">
        <v>18</v>
      </c>
      <c r="G103" s="4" t="s">
        <v>19</v>
      </c>
      <c r="H103" s="4">
        <v>1</v>
      </c>
      <c r="I103" s="4">
        <v>249.99</v>
      </c>
      <c r="J103" s="4" t="s">
        <v>26</v>
      </c>
      <c r="K103" s="4" t="s">
        <v>50</v>
      </c>
      <c r="L103" s="4" t="s">
        <v>27</v>
      </c>
      <c r="M103" s="3">
        <v>44685</v>
      </c>
      <c r="N103" s="5">
        <v>249.99</v>
      </c>
    </row>
    <row r="104" spans="1:14" ht="15" thickBot="1">
      <c r="A104" s="2" t="s">
        <v>237</v>
      </c>
      <c r="B104" s="3">
        <v>45537</v>
      </c>
      <c r="C104" s="4" t="s">
        <v>15</v>
      </c>
      <c r="D104" s="4" t="s">
        <v>16</v>
      </c>
      <c r="E104" s="4" t="s">
        <v>17</v>
      </c>
      <c r="F104" s="4" t="s">
        <v>18</v>
      </c>
      <c r="G104" s="4" t="s">
        <v>19</v>
      </c>
      <c r="H104" s="4">
        <v>1</v>
      </c>
      <c r="I104" s="4">
        <v>249.99</v>
      </c>
      <c r="J104" s="4" t="s">
        <v>57</v>
      </c>
      <c r="K104" s="4" t="s">
        <v>40</v>
      </c>
      <c r="L104" s="4" t="s">
        <v>27</v>
      </c>
      <c r="M104" s="3">
        <v>45332</v>
      </c>
      <c r="N104" s="5">
        <v>249.99</v>
      </c>
    </row>
    <row r="105" spans="1:14" ht="15" thickBot="1">
      <c r="A105" s="2" t="s">
        <v>238</v>
      </c>
      <c r="B105" s="3">
        <v>45538</v>
      </c>
      <c r="C105" s="4" t="s">
        <v>226</v>
      </c>
      <c r="D105" s="4" t="s">
        <v>227</v>
      </c>
      <c r="E105" s="4" t="s">
        <v>80</v>
      </c>
      <c r="F105" s="4" t="s">
        <v>81</v>
      </c>
      <c r="G105" s="4" t="s">
        <v>19</v>
      </c>
      <c r="H105" s="4">
        <v>2</v>
      </c>
      <c r="I105" s="4">
        <v>699.99</v>
      </c>
      <c r="J105" s="4" t="s">
        <v>57</v>
      </c>
      <c r="K105" s="4" t="s">
        <v>21</v>
      </c>
      <c r="L105" s="4" t="s">
        <v>27</v>
      </c>
      <c r="M105" s="3">
        <v>44870</v>
      </c>
      <c r="N105" s="5">
        <v>1399.98</v>
      </c>
    </row>
    <row r="106" spans="1:14" ht="15" thickBot="1">
      <c r="A106" s="2" t="s">
        <v>239</v>
      </c>
      <c r="B106" s="3">
        <v>45541</v>
      </c>
      <c r="C106" s="4" t="s">
        <v>138</v>
      </c>
      <c r="D106" s="4" t="s">
        <v>139</v>
      </c>
      <c r="E106" s="4" t="s">
        <v>31</v>
      </c>
      <c r="F106" s="4" t="s">
        <v>32</v>
      </c>
      <c r="G106" s="4" t="s">
        <v>33</v>
      </c>
      <c r="H106" s="4">
        <v>3</v>
      </c>
      <c r="I106" s="4">
        <v>59.99</v>
      </c>
      <c r="J106" s="4" t="s">
        <v>26</v>
      </c>
      <c r="K106" s="4" t="s">
        <v>21</v>
      </c>
      <c r="L106" s="4" t="s">
        <v>27</v>
      </c>
      <c r="M106" s="3">
        <v>44717</v>
      </c>
      <c r="N106" s="5">
        <v>179.97</v>
      </c>
    </row>
    <row r="107" spans="1:14" ht="15" thickBot="1">
      <c r="A107" s="2" t="s">
        <v>240</v>
      </c>
      <c r="B107" s="3">
        <v>45544</v>
      </c>
      <c r="C107" s="4" t="s">
        <v>132</v>
      </c>
      <c r="D107" s="4" t="s">
        <v>133</v>
      </c>
      <c r="E107" s="4" t="s">
        <v>31</v>
      </c>
      <c r="F107" s="4" t="s">
        <v>32</v>
      </c>
      <c r="G107" s="4" t="s">
        <v>33</v>
      </c>
      <c r="H107" s="4">
        <v>3</v>
      </c>
      <c r="I107" s="4">
        <v>59.99</v>
      </c>
      <c r="J107" s="4" t="s">
        <v>34</v>
      </c>
      <c r="K107" s="4" t="s">
        <v>63</v>
      </c>
      <c r="L107" s="4" t="s">
        <v>36</v>
      </c>
      <c r="M107" s="3">
        <v>44748</v>
      </c>
      <c r="N107" s="5">
        <v>179.97</v>
      </c>
    </row>
    <row r="108" spans="1:14" ht="15" thickBot="1">
      <c r="A108" s="2" t="s">
        <v>241</v>
      </c>
      <c r="B108" s="3">
        <v>45544</v>
      </c>
      <c r="C108" s="4" t="s">
        <v>141</v>
      </c>
      <c r="D108" s="4" t="s">
        <v>142</v>
      </c>
      <c r="E108" s="4" t="s">
        <v>114</v>
      </c>
      <c r="F108" s="4" t="s">
        <v>115</v>
      </c>
      <c r="G108" s="4" t="s">
        <v>33</v>
      </c>
      <c r="H108" s="4">
        <v>4</v>
      </c>
      <c r="I108" s="4">
        <v>79.989999999999995</v>
      </c>
      <c r="J108" s="4" t="s">
        <v>20</v>
      </c>
      <c r="K108" s="4" t="s">
        <v>40</v>
      </c>
      <c r="L108" s="4" t="s">
        <v>22</v>
      </c>
      <c r="M108" s="3">
        <v>44530</v>
      </c>
      <c r="N108" s="5">
        <v>319.95999999999998</v>
      </c>
    </row>
    <row r="109" spans="1:14" ht="15" thickBot="1">
      <c r="A109" s="2" t="s">
        <v>242</v>
      </c>
      <c r="B109" s="3">
        <v>45545</v>
      </c>
      <c r="C109" s="4" t="s">
        <v>55</v>
      </c>
      <c r="D109" s="4" t="s">
        <v>56</v>
      </c>
      <c r="E109" s="4" t="s">
        <v>114</v>
      </c>
      <c r="F109" s="4" t="s">
        <v>115</v>
      </c>
      <c r="G109" s="4" t="s">
        <v>33</v>
      </c>
      <c r="H109" s="4">
        <v>1</v>
      </c>
      <c r="I109" s="4">
        <v>79.989999999999995</v>
      </c>
      <c r="J109" s="4" t="s">
        <v>20</v>
      </c>
      <c r="K109" s="4" t="s">
        <v>50</v>
      </c>
      <c r="L109" s="4" t="s">
        <v>22</v>
      </c>
      <c r="M109" s="3">
        <v>44693</v>
      </c>
      <c r="N109" s="5">
        <v>79.989999999999995</v>
      </c>
    </row>
    <row r="110" spans="1:14" ht="15" thickBot="1">
      <c r="A110" s="2" t="s">
        <v>243</v>
      </c>
      <c r="B110" s="3">
        <v>45547</v>
      </c>
      <c r="C110" s="4" t="s">
        <v>48</v>
      </c>
      <c r="D110" s="4" t="s">
        <v>49</v>
      </c>
      <c r="E110" s="4" t="s">
        <v>105</v>
      </c>
      <c r="F110" s="4" t="s">
        <v>106</v>
      </c>
      <c r="G110" s="4" t="s">
        <v>46</v>
      </c>
      <c r="H110" s="4">
        <v>3</v>
      </c>
      <c r="I110" s="4">
        <v>299.99</v>
      </c>
      <c r="J110" s="4" t="s">
        <v>26</v>
      </c>
      <c r="K110" s="4" t="s">
        <v>21</v>
      </c>
      <c r="L110" s="4" t="s">
        <v>27</v>
      </c>
      <c r="M110" s="3">
        <v>44494</v>
      </c>
      <c r="N110" s="5">
        <v>899.97</v>
      </c>
    </row>
    <row r="111" spans="1:14" ht="15" thickBot="1">
      <c r="A111" s="2" t="s">
        <v>244</v>
      </c>
      <c r="B111" s="3">
        <v>45548</v>
      </c>
      <c r="C111" s="4" t="s">
        <v>38</v>
      </c>
      <c r="D111" s="4" t="s">
        <v>39</v>
      </c>
      <c r="E111" s="4" t="s">
        <v>117</v>
      </c>
      <c r="F111" s="4" t="s">
        <v>118</v>
      </c>
      <c r="G111" s="4" t="s">
        <v>19</v>
      </c>
      <c r="H111" s="4">
        <v>2</v>
      </c>
      <c r="I111" s="4">
        <v>89.99</v>
      </c>
      <c r="J111" s="4" t="s">
        <v>26</v>
      </c>
      <c r="K111" s="4" t="s">
        <v>35</v>
      </c>
      <c r="L111" s="4" t="s">
        <v>27</v>
      </c>
      <c r="M111" s="3">
        <v>44641</v>
      </c>
      <c r="N111" s="5">
        <v>179.98</v>
      </c>
    </row>
    <row r="112" spans="1:14" ht="15" thickBot="1">
      <c r="A112" s="2" t="s">
        <v>245</v>
      </c>
      <c r="B112" s="3">
        <v>45550</v>
      </c>
      <c r="C112" s="4" t="s">
        <v>246</v>
      </c>
      <c r="D112" s="4" t="s">
        <v>247</v>
      </c>
      <c r="E112" s="4" t="s">
        <v>52</v>
      </c>
      <c r="F112" s="4" t="s">
        <v>53</v>
      </c>
      <c r="G112" s="4" t="s">
        <v>19</v>
      </c>
      <c r="H112" s="4">
        <v>4</v>
      </c>
      <c r="I112" s="4">
        <v>149.99</v>
      </c>
      <c r="J112" s="4" t="s">
        <v>20</v>
      </c>
      <c r="K112" s="4" t="s">
        <v>40</v>
      </c>
      <c r="L112" s="4" t="s">
        <v>22</v>
      </c>
      <c r="M112" s="3">
        <v>44909</v>
      </c>
      <c r="N112" s="5">
        <v>599.96</v>
      </c>
    </row>
    <row r="113" spans="1:14" ht="15" thickBot="1">
      <c r="A113" s="2" t="s">
        <v>248</v>
      </c>
      <c r="B113" s="3">
        <v>45551</v>
      </c>
      <c r="C113" s="4" t="s">
        <v>65</v>
      </c>
      <c r="D113" s="4" t="s">
        <v>66</v>
      </c>
      <c r="E113" s="4" t="s">
        <v>17</v>
      </c>
      <c r="F113" s="4" t="s">
        <v>18</v>
      </c>
      <c r="G113" s="4" t="s">
        <v>19</v>
      </c>
      <c r="H113" s="4">
        <v>2</v>
      </c>
      <c r="I113" s="4">
        <v>249.99</v>
      </c>
      <c r="J113" s="4" t="s">
        <v>34</v>
      </c>
      <c r="K113" s="4" t="s">
        <v>35</v>
      </c>
      <c r="L113" s="4" t="s">
        <v>22</v>
      </c>
      <c r="M113" s="3">
        <v>44993</v>
      </c>
      <c r="N113" s="5">
        <v>499.98</v>
      </c>
    </row>
    <row r="114" spans="1:14" ht="15" thickBot="1">
      <c r="A114" s="2" t="s">
        <v>249</v>
      </c>
      <c r="B114" s="3">
        <v>45551</v>
      </c>
      <c r="C114" s="4" t="s">
        <v>154</v>
      </c>
      <c r="D114" s="4" t="s">
        <v>155</v>
      </c>
      <c r="E114" s="4" t="s">
        <v>126</v>
      </c>
      <c r="F114" s="4" t="s">
        <v>127</v>
      </c>
      <c r="G114" s="4" t="s">
        <v>46</v>
      </c>
      <c r="H114" s="4">
        <v>4</v>
      </c>
      <c r="I114" s="4">
        <v>199.99</v>
      </c>
      <c r="J114" s="4" t="s">
        <v>57</v>
      </c>
      <c r="K114" s="4" t="s">
        <v>63</v>
      </c>
      <c r="L114" s="4" t="s">
        <v>22</v>
      </c>
      <c r="M114" s="3">
        <v>44458</v>
      </c>
      <c r="N114" s="5">
        <v>799.96</v>
      </c>
    </row>
    <row r="115" spans="1:14" ht="15" thickBot="1">
      <c r="A115" s="2" t="s">
        <v>250</v>
      </c>
      <c r="B115" s="3">
        <v>45554</v>
      </c>
      <c r="C115" s="4" t="s">
        <v>147</v>
      </c>
      <c r="D115" s="4" t="s">
        <v>148</v>
      </c>
      <c r="E115" s="4" t="s">
        <v>117</v>
      </c>
      <c r="F115" s="4" t="s">
        <v>118</v>
      </c>
      <c r="G115" s="4" t="s">
        <v>19</v>
      </c>
      <c r="H115" s="4">
        <v>5</v>
      </c>
      <c r="I115" s="4">
        <v>89.99</v>
      </c>
      <c r="J115" s="4" t="s">
        <v>26</v>
      </c>
      <c r="K115" s="4" t="s">
        <v>63</v>
      </c>
      <c r="L115" s="4" t="s">
        <v>27</v>
      </c>
      <c r="M115" s="3">
        <v>44446</v>
      </c>
      <c r="N115" s="5">
        <v>449.95</v>
      </c>
    </row>
    <row r="116" spans="1:14" ht="15" thickBot="1">
      <c r="A116" s="2" t="s">
        <v>251</v>
      </c>
      <c r="B116" s="3">
        <v>45554</v>
      </c>
      <c r="C116" s="4" t="s">
        <v>252</v>
      </c>
      <c r="D116" s="4" t="s">
        <v>253</v>
      </c>
      <c r="E116" s="4" t="s">
        <v>52</v>
      </c>
      <c r="F116" s="4" t="s">
        <v>53</v>
      </c>
      <c r="G116" s="4" t="s">
        <v>19</v>
      </c>
      <c r="H116" s="4">
        <v>1</v>
      </c>
      <c r="I116" s="4">
        <v>149.99</v>
      </c>
      <c r="J116" s="4" t="s">
        <v>34</v>
      </c>
      <c r="K116" s="4" t="s">
        <v>63</v>
      </c>
      <c r="L116" s="4" t="s">
        <v>36</v>
      </c>
      <c r="M116" s="3">
        <v>44482</v>
      </c>
      <c r="N116" s="5">
        <v>149.99</v>
      </c>
    </row>
    <row r="117" spans="1:14" ht="15" thickBot="1">
      <c r="A117" s="2" t="s">
        <v>254</v>
      </c>
      <c r="B117" s="3">
        <v>45554</v>
      </c>
      <c r="C117" s="4" t="s">
        <v>72</v>
      </c>
      <c r="D117" s="4" t="s">
        <v>73</v>
      </c>
      <c r="E117" s="4" t="s">
        <v>80</v>
      </c>
      <c r="F117" s="4" t="s">
        <v>81</v>
      </c>
      <c r="G117" s="4" t="s">
        <v>19</v>
      </c>
      <c r="H117" s="4">
        <v>4</v>
      </c>
      <c r="I117" s="4">
        <v>699.99</v>
      </c>
      <c r="J117" s="4" t="s">
        <v>34</v>
      </c>
      <c r="K117" s="4" t="s">
        <v>35</v>
      </c>
      <c r="L117" s="4" t="s">
        <v>22</v>
      </c>
      <c r="M117" s="3">
        <v>44618</v>
      </c>
      <c r="N117" s="5">
        <v>2799.96</v>
      </c>
    </row>
    <row r="118" spans="1:14" ht="15" thickBot="1">
      <c r="A118" s="2" t="s">
        <v>255</v>
      </c>
      <c r="B118" s="3">
        <v>45559</v>
      </c>
      <c r="C118" s="4" t="s">
        <v>234</v>
      </c>
      <c r="D118" s="4" t="s">
        <v>235</v>
      </c>
      <c r="E118" s="4" t="s">
        <v>61</v>
      </c>
      <c r="F118" s="4" t="s">
        <v>62</v>
      </c>
      <c r="G118" s="4" t="s">
        <v>19</v>
      </c>
      <c r="H118" s="4">
        <v>3</v>
      </c>
      <c r="I118" s="4">
        <v>899.99</v>
      </c>
      <c r="J118" s="4" t="s">
        <v>26</v>
      </c>
      <c r="K118" s="4" t="s">
        <v>40</v>
      </c>
      <c r="L118" s="4" t="s">
        <v>36</v>
      </c>
      <c r="M118" s="3">
        <v>45157</v>
      </c>
      <c r="N118" s="5">
        <v>2699.97</v>
      </c>
    </row>
    <row r="119" spans="1:14" ht="15" thickBot="1">
      <c r="A119" s="2" t="s">
        <v>256</v>
      </c>
      <c r="B119" s="3">
        <v>45560</v>
      </c>
      <c r="C119" s="4" t="s">
        <v>112</v>
      </c>
      <c r="D119" s="4" t="s">
        <v>113</v>
      </c>
      <c r="E119" s="4" t="s">
        <v>44</v>
      </c>
      <c r="F119" s="4" t="s">
        <v>45</v>
      </c>
      <c r="G119" s="4" t="s">
        <v>46</v>
      </c>
      <c r="H119" s="4">
        <v>3</v>
      </c>
      <c r="I119" s="4">
        <v>149.99</v>
      </c>
      <c r="J119" s="4" t="s">
        <v>34</v>
      </c>
      <c r="K119" s="4" t="s">
        <v>63</v>
      </c>
      <c r="L119" s="4" t="s">
        <v>22</v>
      </c>
      <c r="M119" s="3">
        <v>44886</v>
      </c>
      <c r="N119" s="5">
        <v>449.97</v>
      </c>
    </row>
    <row r="120" spans="1:14" ht="15" thickBot="1">
      <c r="A120" s="2" t="s">
        <v>257</v>
      </c>
      <c r="B120" s="3">
        <v>45563</v>
      </c>
      <c r="C120" s="4" t="s">
        <v>99</v>
      </c>
      <c r="D120" s="4" t="s">
        <v>100</v>
      </c>
      <c r="E120" s="4" t="s">
        <v>105</v>
      </c>
      <c r="F120" s="4" t="s">
        <v>106</v>
      </c>
      <c r="G120" s="4" t="s">
        <v>46</v>
      </c>
      <c r="H120" s="4">
        <v>2</v>
      </c>
      <c r="I120" s="4">
        <v>299.99</v>
      </c>
      <c r="J120" s="4" t="s">
        <v>57</v>
      </c>
      <c r="K120" s="4" t="s">
        <v>21</v>
      </c>
      <c r="L120" s="4" t="s">
        <v>22</v>
      </c>
      <c r="M120" s="3">
        <v>44569</v>
      </c>
      <c r="N120" s="5">
        <v>599.98</v>
      </c>
    </row>
    <row r="121" spans="1:14" ht="15" thickBot="1">
      <c r="A121" s="2" t="s">
        <v>258</v>
      </c>
      <c r="B121" s="3">
        <v>45564</v>
      </c>
      <c r="C121" s="4" t="s">
        <v>259</v>
      </c>
      <c r="D121" s="4" t="s">
        <v>260</v>
      </c>
      <c r="E121" s="4" t="s">
        <v>126</v>
      </c>
      <c r="F121" s="4" t="s">
        <v>127</v>
      </c>
      <c r="G121" s="4" t="s">
        <v>46</v>
      </c>
      <c r="H121" s="4">
        <v>1</v>
      </c>
      <c r="I121" s="4">
        <v>199.99</v>
      </c>
      <c r="J121" s="4" t="s">
        <v>57</v>
      </c>
      <c r="K121" s="4" t="s">
        <v>63</v>
      </c>
      <c r="L121" s="4" t="s">
        <v>36</v>
      </c>
      <c r="M121" s="3">
        <v>44953</v>
      </c>
      <c r="N121" s="5">
        <v>199.99</v>
      </c>
    </row>
    <row r="122" spans="1:14" ht="15" thickBot="1">
      <c r="A122" s="2" t="s">
        <v>261</v>
      </c>
      <c r="B122" s="3">
        <v>45566</v>
      </c>
      <c r="C122" s="4" t="s">
        <v>42</v>
      </c>
      <c r="D122" s="4" t="s">
        <v>43</v>
      </c>
      <c r="E122" s="4" t="s">
        <v>105</v>
      </c>
      <c r="F122" s="4" t="s">
        <v>106</v>
      </c>
      <c r="G122" s="4" t="s">
        <v>46</v>
      </c>
      <c r="H122" s="4">
        <v>4</v>
      </c>
      <c r="I122" s="4">
        <v>299.99</v>
      </c>
      <c r="J122" s="4" t="s">
        <v>20</v>
      </c>
      <c r="K122" s="4" t="s">
        <v>21</v>
      </c>
      <c r="L122" s="4" t="s">
        <v>27</v>
      </c>
      <c r="M122" s="3">
        <v>44460</v>
      </c>
      <c r="N122" s="5">
        <v>1199.96</v>
      </c>
    </row>
    <row r="123" spans="1:14" ht="15" thickBot="1">
      <c r="A123" s="2" t="s">
        <v>262</v>
      </c>
      <c r="B123" s="3">
        <v>45572</v>
      </c>
      <c r="C123" s="4" t="s">
        <v>89</v>
      </c>
      <c r="D123" s="4" t="s">
        <v>90</v>
      </c>
      <c r="E123" s="4" t="s">
        <v>31</v>
      </c>
      <c r="F123" s="4" t="s">
        <v>32</v>
      </c>
      <c r="G123" s="4" t="s">
        <v>33</v>
      </c>
      <c r="H123" s="4">
        <v>2</v>
      </c>
      <c r="I123" s="4">
        <v>59.99</v>
      </c>
      <c r="J123" s="4" t="s">
        <v>26</v>
      </c>
      <c r="K123" s="4" t="s">
        <v>21</v>
      </c>
      <c r="L123" s="4" t="s">
        <v>22</v>
      </c>
      <c r="M123" s="3">
        <v>44579</v>
      </c>
      <c r="N123" s="5">
        <v>119.98</v>
      </c>
    </row>
    <row r="124" spans="1:14" ht="15" thickBot="1">
      <c r="A124" s="2" t="s">
        <v>263</v>
      </c>
      <c r="B124" s="3">
        <v>45572</v>
      </c>
      <c r="C124" s="4" t="s">
        <v>234</v>
      </c>
      <c r="D124" s="4" t="s">
        <v>235</v>
      </c>
      <c r="E124" s="4" t="s">
        <v>52</v>
      </c>
      <c r="F124" s="4" t="s">
        <v>53</v>
      </c>
      <c r="G124" s="4" t="s">
        <v>19</v>
      </c>
      <c r="H124" s="4">
        <v>4</v>
      </c>
      <c r="I124" s="4">
        <v>149.99</v>
      </c>
      <c r="J124" s="4" t="s">
        <v>26</v>
      </c>
      <c r="K124" s="4" t="s">
        <v>40</v>
      </c>
      <c r="L124" s="4" t="s">
        <v>27</v>
      </c>
      <c r="M124" s="3">
        <v>45076</v>
      </c>
      <c r="N124" s="5">
        <v>599.96</v>
      </c>
    </row>
    <row r="125" spans="1:14" ht="15" thickBot="1">
      <c r="A125" s="2" t="s">
        <v>264</v>
      </c>
      <c r="B125" s="3">
        <v>45573</v>
      </c>
      <c r="C125" s="4" t="s">
        <v>211</v>
      </c>
      <c r="D125" s="4" t="s">
        <v>212</v>
      </c>
      <c r="E125" s="4" t="s">
        <v>80</v>
      </c>
      <c r="F125" s="4" t="s">
        <v>81</v>
      </c>
      <c r="G125" s="4" t="s">
        <v>19</v>
      </c>
      <c r="H125" s="4">
        <v>2</v>
      </c>
      <c r="I125" s="4">
        <v>699.99</v>
      </c>
      <c r="J125" s="4" t="s">
        <v>57</v>
      </c>
      <c r="K125" s="4" t="s">
        <v>63</v>
      </c>
      <c r="L125" s="4" t="s">
        <v>27</v>
      </c>
      <c r="M125" s="3">
        <v>45274</v>
      </c>
      <c r="N125" s="5">
        <v>1399.98</v>
      </c>
    </row>
    <row r="126" spans="1:14" ht="15" thickBot="1">
      <c r="A126" s="2" t="s">
        <v>265</v>
      </c>
      <c r="B126" s="3">
        <v>45573</v>
      </c>
      <c r="C126" s="4" t="s">
        <v>231</v>
      </c>
      <c r="D126" s="4" t="s">
        <v>232</v>
      </c>
      <c r="E126" s="4" t="s">
        <v>44</v>
      </c>
      <c r="F126" s="4" t="s">
        <v>45</v>
      </c>
      <c r="G126" s="4" t="s">
        <v>46</v>
      </c>
      <c r="H126" s="4">
        <v>3</v>
      </c>
      <c r="I126" s="4">
        <v>149.99</v>
      </c>
      <c r="J126" s="4" t="s">
        <v>26</v>
      </c>
      <c r="K126" s="4" t="s">
        <v>35</v>
      </c>
      <c r="L126" s="4" t="s">
        <v>36</v>
      </c>
      <c r="M126" s="3">
        <v>44940</v>
      </c>
      <c r="N126" s="5">
        <v>449.97</v>
      </c>
    </row>
    <row r="127" spans="1:14" ht="15" thickBot="1">
      <c r="A127" s="2" t="s">
        <v>266</v>
      </c>
      <c r="B127" s="3">
        <v>45576</v>
      </c>
      <c r="C127" s="4" t="s">
        <v>147</v>
      </c>
      <c r="D127" s="4" t="s">
        <v>148</v>
      </c>
      <c r="E127" s="4" t="s">
        <v>105</v>
      </c>
      <c r="F127" s="4" t="s">
        <v>106</v>
      </c>
      <c r="G127" s="4" t="s">
        <v>46</v>
      </c>
      <c r="H127" s="4">
        <v>3</v>
      </c>
      <c r="I127" s="4">
        <v>299.99</v>
      </c>
      <c r="J127" s="4" t="s">
        <v>26</v>
      </c>
      <c r="K127" s="4" t="s">
        <v>21</v>
      </c>
      <c r="L127" s="4" t="s">
        <v>36</v>
      </c>
      <c r="M127" s="3">
        <v>45174</v>
      </c>
      <c r="N127" s="5">
        <v>899.97</v>
      </c>
    </row>
    <row r="128" spans="1:14" ht="15" thickBot="1">
      <c r="A128" s="2" t="s">
        <v>267</v>
      </c>
      <c r="B128" s="3">
        <v>45579</v>
      </c>
      <c r="C128" s="4" t="s">
        <v>83</v>
      </c>
      <c r="D128" s="4" t="s">
        <v>84</v>
      </c>
      <c r="E128" s="4" t="s">
        <v>61</v>
      </c>
      <c r="F128" s="4" t="s">
        <v>62</v>
      </c>
      <c r="G128" s="4" t="s">
        <v>19</v>
      </c>
      <c r="H128" s="4">
        <v>3</v>
      </c>
      <c r="I128" s="4">
        <v>899.99</v>
      </c>
      <c r="J128" s="4" t="s">
        <v>34</v>
      </c>
      <c r="K128" s="4" t="s">
        <v>50</v>
      </c>
      <c r="L128" s="4" t="s">
        <v>22</v>
      </c>
      <c r="M128" s="3">
        <v>45215</v>
      </c>
      <c r="N128" s="5">
        <v>2699.97</v>
      </c>
    </row>
    <row r="129" spans="1:14" ht="15" thickBot="1">
      <c r="A129" s="2" t="s">
        <v>268</v>
      </c>
      <c r="B129" s="3">
        <v>45581</v>
      </c>
      <c r="C129" s="4" t="s">
        <v>96</v>
      </c>
      <c r="D129" s="4" t="s">
        <v>97</v>
      </c>
      <c r="E129" s="4" t="s">
        <v>80</v>
      </c>
      <c r="F129" s="4" t="s">
        <v>81</v>
      </c>
      <c r="G129" s="4" t="s">
        <v>19</v>
      </c>
      <c r="H129" s="4">
        <v>5</v>
      </c>
      <c r="I129" s="4">
        <v>699.99</v>
      </c>
      <c r="J129" s="4" t="s">
        <v>20</v>
      </c>
      <c r="K129" s="4" t="s">
        <v>63</v>
      </c>
      <c r="L129" s="4" t="s">
        <v>36</v>
      </c>
      <c r="M129" s="3">
        <v>45008</v>
      </c>
      <c r="N129" s="5">
        <v>3499.95</v>
      </c>
    </row>
    <row r="130" spans="1:14" ht="15" thickBot="1">
      <c r="A130" s="2" t="s">
        <v>269</v>
      </c>
      <c r="B130" s="3">
        <v>45581</v>
      </c>
      <c r="C130" s="4" t="s">
        <v>171</v>
      </c>
      <c r="D130" s="4" t="s">
        <v>172</v>
      </c>
      <c r="E130" s="4" t="s">
        <v>80</v>
      </c>
      <c r="F130" s="4" t="s">
        <v>81</v>
      </c>
      <c r="G130" s="4" t="s">
        <v>19</v>
      </c>
      <c r="H130" s="4">
        <v>4</v>
      </c>
      <c r="I130" s="4">
        <v>699.99</v>
      </c>
      <c r="J130" s="4" t="s">
        <v>26</v>
      </c>
      <c r="K130" s="4" t="s">
        <v>21</v>
      </c>
      <c r="L130" s="4" t="s">
        <v>22</v>
      </c>
      <c r="M130" s="3">
        <v>45385</v>
      </c>
      <c r="N130" s="5">
        <v>2799.96</v>
      </c>
    </row>
    <row r="131" spans="1:14" ht="15" thickBot="1">
      <c r="A131" s="2" t="s">
        <v>270</v>
      </c>
      <c r="B131" s="3">
        <v>45581</v>
      </c>
      <c r="C131" s="4" t="s">
        <v>150</v>
      </c>
      <c r="D131" s="4" t="s">
        <v>151</v>
      </c>
      <c r="E131" s="4" t="s">
        <v>61</v>
      </c>
      <c r="F131" s="4" t="s">
        <v>62</v>
      </c>
      <c r="G131" s="4" t="s">
        <v>19</v>
      </c>
      <c r="H131" s="4">
        <v>1</v>
      </c>
      <c r="I131" s="4">
        <v>899.99</v>
      </c>
      <c r="J131" s="4" t="s">
        <v>26</v>
      </c>
      <c r="K131" s="4" t="s">
        <v>63</v>
      </c>
      <c r="L131" s="4" t="s">
        <v>36</v>
      </c>
      <c r="M131" s="3">
        <v>45369</v>
      </c>
      <c r="N131" s="5">
        <v>899.99</v>
      </c>
    </row>
    <row r="132" spans="1:14" ht="15" thickBot="1">
      <c r="A132" s="2" t="s">
        <v>271</v>
      </c>
      <c r="B132" s="3">
        <v>45583</v>
      </c>
      <c r="C132" s="4" t="s">
        <v>226</v>
      </c>
      <c r="D132" s="4" t="s">
        <v>227</v>
      </c>
      <c r="E132" s="4" t="s">
        <v>52</v>
      </c>
      <c r="F132" s="4" t="s">
        <v>53</v>
      </c>
      <c r="G132" s="4" t="s">
        <v>19</v>
      </c>
      <c r="H132" s="4">
        <v>2</v>
      </c>
      <c r="I132" s="4">
        <v>149.99</v>
      </c>
      <c r="J132" s="4" t="s">
        <v>26</v>
      </c>
      <c r="K132" s="4" t="s">
        <v>50</v>
      </c>
      <c r="L132" s="4" t="s">
        <v>22</v>
      </c>
      <c r="M132" s="3">
        <v>44916</v>
      </c>
      <c r="N132" s="5">
        <v>299.98</v>
      </c>
    </row>
    <row r="133" spans="1:14" ht="15" thickBot="1">
      <c r="A133" s="2" t="s">
        <v>272</v>
      </c>
      <c r="B133" s="3">
        <v>45586</v>
      </c>
      <c r="C133" s="4" t="s">
        <v>226</v>
      </c>
      <c r="D133" s="4" t="s">
        <v>227</v>
      </c>
      <c r="E133" s="4" t="s">
        <v>117</v>
      </c>
      <c r="F133" s="4" t="s">
        <v>118</v>
      </c>
      <c r="G133" s="4" t="s">
        <v>19</v>
      </c>
      <c r="H133" s="4">
        <v>3</v>
      </c>
      <c r="I133" s="4">
        <v>89.99</v>
      </c>
      <c r="J133" s="4" t="s">
        <v>34</v>
      </c>
      <c r="K133" s="4" t="s">
        <v>21</v>
      </c>
      <c r="L133" s="4" t="s">
        <v>22</v>
      </c>
      <c r="M133" s="3">
        <v>44551</v>
      </c>
      <c r="N133" s="5">
        <v>269.97000000000003</v>
      </c>
    </row>
    <row r="134" spans="1:14" ht="15" thickBot="1">
      <c r="A134" s="2" t="s">
        <v>273</v>
      </c>
      <c r="B134" s="3">
        <v>45588</v>
      </c>
      <c r="C134" s="4" t="s">
        <v>38</v>
      </c>
      <c r="D134" s="4" t="s">
        <v>39</v>
      </c>
      <c r="E134" s="4" t="s">
        <v>52</v>
      </c>
      <c r="F134" s="4" t="s">
        <v>53</v>
      </c>
      <c r="G134" s="4" t="s">
        <v>19</v>
      </c>
      <c r="H134" s="4">
        <v>2</v>
      </c>
      <c r="I134" s="4">
        <v>149.99</v>
      </c>
      <c r="J134" s="4" t="s">
        <v>34</v>
      </c>
      <c r="K134" s="4" t="s">
        <v>21</v>
      </c>
      <c r="L134" s="4" t="s">
        <v>22</v>
      </c>
      <c r="M134" s="3">
        <v>44473</v>
      </c>
      <c r="N134" s="5">
        <v>299.98</v>
      </c>
    </row>
    <row r="135" spans="1:14" ht="15" thickBot="1">
      <c r="A135" s="2" t="s">
        <v>274</v>
      </c>
      <c r="B135" s="3">
        <v>45588</v>
      </c>
      <c r="C135" s="4" t="s">
        <v>154</v>
      </c>
      <c r="D135" s="4" t="s">
        <v>155</v>
      </c>
      <c r="E135" s="4" t="s">
        <v>80</v>
      </c>
      <c r="F135" s="4" t="s">
        <v>81</v>
      </c>
      <c r="G135" s="4" t="s">
        <v>19</v>
      </c>
      <c r="H135" s="4">
        <v>2</v>
      </c>
      <c r="I135" s="4">
        <v>699.99</v>
      </c>
      <c r="J135" s="4" t="s">
        <v>20</v>
      </c>
      <c r="K135" s="4" t="s">
        <v>21</v>
      </c>
      <c r="L135" s="4" t="s">
        <v>22</v>
      </c>
      <c r="M135" s="3">
        <v>44992</v>
      </c>
      <c r="N135" s="5">
        <v>1399.98</v>
      </c>
    </row>
    <row r="136" spans="1:14" ht="15" thickBot="1">
      <c r="A136" s="2" t="s">
        <v>275</v>
      </c>
      <c r="B136" s="3">
        <v>45589</v>
      </c>
      <c r="C136" s="4" t="s">
        <v>158</v>
      </c>
      <c r="D136" s="4" t="s">
        <v>159</v>
      </c>
      <c r="E136" s="4" t="s">
        <v>80</v>
      </c>
      <c r="F136" s="4" t="s">
        <v>81</v>
      </c>
      <c r="G136" s="4" t="s">
        <v>19</v>
      </c>
      <c r="H136" s="4">
        <v>5</v>
      </c>
      <c r="I136" s="4">
        <v>699.99</v>
      </c>
      <c r="J136" s="4" t="s">
        <v>20</v>
      </c>
      <c r="K136" s="4" t="s">
        <v>40</v>
      </c>
      <c r="L136" s="4" t="s">
        <v>27</v>
      </c>
      <c r="M136" s="3">
        <v>44635</v>
      </c>
      <c r="N136" s="5">
        <v>3499.95</v>
      </c>
    </row>
    <row r="137" spans="1:14" ht="15" thickBot="1">
      <c r="A137" s="2" t="s">
        <v>276</v>
      </c>
      <c r="B137" s="3">
        <v>45592</v>
      </c>
      <c r="C137" s="4" t="s">
        <v>171</v>
      </c>
      <c r="D137" s="4" t="s">
        <v>172</v>
      </c>
      <c r="E137" s="4" t="s">
        <v>117</v>
      </c>
      <c r="F137" s="4" t="s">
        <v>118</v>
      </c>
      <c r="G137" s="4" t="s">
        <v>19</v>
      </c>
      <c r="H137" s="4">
        <v>3</v>
      </c>
      <c r="I137" s="4">
        <v>89.99</v>
      </c>
      <c r="J137" s="4" t="s">
        <v>26</v>
      </c>
      <c r="K137" s="4" t="s">
        <v>40</v>
      </c>
      <c r="L137" s="4" t="s">
        <v>36</v>
      </c>
      <c r="M137" s="3">
        <v>44615</v>
      </c>
      <c r="N137" s="5">
        <v>269.97000000000003</v>
      </c>
    </row>
    <row r="138" spans="1:14" ht="15" thickBot="1">
      <c r="A138" s="2" t="s">
        <v>277</v>
      </c>
      <c r="B138" s="3">
        <v>45597</v>
      </c>
      <c r="C138" s="4" t="s">
        <v>15</v>
      </c>
      <c r="D138" s="4" t="s">
        <v>16</v>
      </c>
      <c r="E138" s="4" t="s">
        <v>17</v>
      </c>
      <c r="F138" s="4" t="s">
        <v>18</v>
      </c>
      <c r="G138" s="4" t="s">
        <v>19</v>
      </c>
      <c r="H138" s="4">
        <v>5</v>
      </c>
      <c r="I138" s="4">
        <v>249.99</v>
      </c>
      <c r="J138" s="4" t="s">
        <v>26</v>
      </c>
      <c r="K138" s="4" t="s">
        <v>35</v>
      </c>
      <c r="L138" s="4" t="s">
        <v>36</v>
      </c>
      <c r="M138" s="3">
        <v>44881</v>
      </c>
      <c r="N138" s="5">
        <v>1249.95</v>
      </c>
    </row>
    <row r="139" spans="1:14" ht="15" thickBot="1">
      <c r="A139" s="2" t="s">
        <v>278</v>
      </c>
      <c r="B139" s="3">
        <v>45600</v>
      </c>
      <c r="C139" s="4" t="s">
        <v>65</v>
      </c>
      <c r="D139" s="4" t="s">
        <v>66</v>
      </c>
      <c r="E139" s="4" t="s">
        <v>105</v>
      </c>
      <c r="F139" s="4" t="s">
        <v>106</v>
      </c>
      <c r="G139" s="4" t="s">
        <v>46</v>
      </c>
      <c r="H139" s="4">
        <v>3</v>
      </c>
      <c r="I139" s="4">
        <v>299.99</v>
      </c>
      <c r="J139" s="4" t="s">
        <v>26</v>
      </c>
      <c r="K139" s="4" t="s">
        <v>35</v>
      </c>
      <c r="L139" s="4" t="s">
        <v>36</v>
      </c>
      <c r="M139" s="3">
        <v>44502</v>
      </c>
      <c r="N139" s="5">
        <v>899.97</v>
      </c>
    </row>
    <row r="140" spans="1:14" ht="15" thickBot="1">
      <c r="A140" s="2" t="s">
        <v>279</v>
      </c>
      <c r="B140" s="3">
        <v>45603</v>
      </c>
      <c r="C140" s="4" t="s">
        <v>99</v>
      </c>
      <c r="D140" s="4" t="s">
        <v>100</v>
      </c>
      <c r="E140" s="4" t="s">
        <v>117</v>
      </c>
      <c r="F140" s="4" t="s">
        <v>118</v>
      </c>
      <c r="G140" s="4" t="s">
        <v>19</v>
      </c>
      <c r="H140" s="4">
        <v>3</v>
      </c>
      <c r="I140" s="4">
        <v>89.99</v>
      </c>
      <c r="J140" s="4" t="s">
        <v>26</v>
      </c>
      <c r="K140" s="4" t="s">
        <v>40</v>
      </c>
      <c r="L140" s="4" t="s">
        <v>27</v>
      </c>
      <c r="M140" s="3">
        <v>44420</v>
      </c>
      <c r="N140" s="5">
        <v>269.97000000000003</v>
      </c>
    </row>
    <row r="141" spans="1:14" ht="15" thickBot="1">
      <c r="A141" s="2" t="s">
        <v>280</v>
      </c>
      <c r="B141" s="3">
        <v>45604</v>
      </c>
      <c r="C141" s="4" t="s">
        <v>89</v>
      </c>
      <c r="D141" s="4" t="s">
        <v>90</v>
      </c>
      <c r="E141" s="4" t="s">
        <v>44</v>
      </c>
      <c r="F141" s="4" t="s">
        <v>45</v>
      </c>
      <c r="G141" s="4" t="s">
        <v>46</v>
      </c>
      <c r="H141" s="4">
        <v>2</v>
      </c>
      <c r="I141" s="4">
        <v>149.99</v>
      </c>
      <c r="J141" s="4" t="s">
        <v>26</v>
      </c>
      <c r="K141" s="4" t="s">
        <v>50</v>
      </c>
      <c r="L141" s="4" t="s">
        <v>27</v>
      </c>
      <c r="M141" s="3">
        <v>44848</v>
      </c>
      <c r="N141" s="5">
        <v>299.98</v>
      </c>
    </row>
    <row r="142" spans="1:14" ht="15" thickBot="1">
      <c r="A142" s="2" t="s">
        <v>281</v>
      </c>
      <c r="B142" s="3">
        <v>45605</v>
      </c>
      <c r="C142" s="4" t="s">
        <v>185</v>
      </c>
      <c r="D142" s="4" t="s">
        <v>186</v>
      </c>
      <c r="E142" s="4" t="s">
        <v>17</v>
      </c>
      <c r="F142" s="4" t="s">
        <v>18</v>
      </c>
      <c r="G142" s="4" t="s">
        <v>19</v>
      </c>
      <c r="H142" s="4">
        <v>1</v>
      </c>
      <c r="I142" s="4">
        <v>249.99</v>
      </c>
      <c r="J142" s="4" t="s">
        <v>26</v>
      </c>
      <c r="K142" s="4" t="s">
        <v>40</v>
      </c>
      <c r="L142" s="4" t="s">
        <v>27</v>
      </c>
      <c r="M142" s="3">
        <v>44828</v>
      </c>
      <c r="N142" s="5">
        <v>249.99</v>
      </c>
    </row>
    <row r="143" spans="1:14" ht="15" thickBot="1">
      <c r="A143" s="2" t="s">
        <v>282</v>
      </c>
      <c r="B143" s="3">
        <v>45607</v>
      </c>
      <c r="C143" s="4" t="s">
        <v>72</v>
      </c>
      <c r="D143" s="4" t="s">
        <v>73</v>
      </c>
      <c r="E143" s="4" t="s">
        <v>52</v>
      </c>
      <c r="F143" s="4" t="s">
        <v>53</v>
      </c>
      <c r="G143" s="4" t="s">
        <v>19</v>
      </c>
      <c r="H143" s="4">
        <v>3</v>
      </c>
      <c r="I143" s="4">
        <v>149.99</v>
      </c>
      <c r="J143" s="4" t="s">
        <v>20</v>
      </c>
      <c r="K143" s="4" t="s">
        <v>40</v>
      </c>
      <c r="L143" s="4" t="s">
        <v>22</v>
      </c>
      <c r="M143" s="3">
        <v>44769</v>
      </c>
      <c r="N143" s="5">
        <v>449.97</v>
      </c>
    </row>
    <row r="144" spans="1:14" ht="15" thickBot="1">
      <c r="A144" s="2" t="s">
        <v>283</v>
      </c>
      <c r="B144" s="3">
        <v>45607</v>
      </c>
      <c r="C144" s="4" t="s">
        <v>15</v>
      </c>
      <c r="D144" s="4" t="s">
        <v>16</v>
      </c>
      <c r="E144" s="4" t="s">
        <v>31</v>
      </c>
      <c r="F144" s="4" t="s">
        <v>32</v>
      </c>
      <c r="G144" s="4" t="s">
        <v>33</v>
      </c>
      <c r="H144" s="4">
        <v>5</v>
      </c>
      <c r="I144" s="4">
        <v>59.99</v>
      </c>
      <c r="J144" s="4" t="s">
        <v>34</v>
      </c>
      <c r="K144" s="4" t="s">
        <v>50</v>
      </c>
      <c r="L144" s="4" t="s">
        <v>27</v>
      </c>
      <c r="M144" s="3">
        <v>44694</v>
      </c>
      <c r="N144" s="5">
        <v>299.95</v>
      </c>
    </row>
    <row r="145" spans="1:14" ht="15" thickBot="1">
      <c r="A145" s="2" t="s">
        <v>284</v>
      </c>
      <c r="B145" s="3">
        <v>45607</v>
      </c>
      <c r="C145" s="4" t="s">
        <v>99</v>
      </c>
      <c r="D145" s="4" t="s">
        <v>100</v>
      </c>
      <c r="E145" s="4" t="s">
        <v>17</v>
      </c>
      <c r="F145" s="4" t="s">
        <v>18</v>
      </c>
      <c r="G145" s="4" t="s">
        <v>19</v>
      </c>
      <c r="H145" s="4">
        <v>4</v>
      </c>
      <c r="I145" s="4">
        <v>249.99</v>
      </c>
      <c r="J145" s="4" t="s">
        <v>26</v>
      </c>
      <c r="K145" s="4" t="s">
        <v>50</v>
      </c>
      <c r="L145" s="4" t="s">
        <v>36</v>
      </c>
      <c r="M145" s="3">
        <v>44659</v>
      </c>
      <c r="N145" s="5">
        <v>999.96</v>
      </c>
    </row>
    <row r="146" spans="1:14" ht="15" thickBot="1">
      <c r="A146" s="2" t="s">
        <v>285</v>
      </c>
      <c r="B146" s="3">
        <v>45608</v>
      </c>
      <c r="C146" s="4" t="s">
        <v>154</v>
      </c>
      <c r="D146" s="4" t="s">
        <v>155</v>
      </c>
      <c r="E146" s="4" t="s">
        <v>44</v>
      </c>
      <c r="F146" s="4" t="s">
        <v>45</v>
      </c>
      <c r="G146" s="4" t="s">
        <v>46</v>
      </c>
      <c r="H146" s="4">
        <v>5</v>
      </c>
      <c r="I146" s="4">
        <v>149.99</v>
      </c>
      <c r="J146" s="4" t="s">
        <v>34</v>
      </c>
      <c r="K146" s="4" t="s">
        <v>21</v>
      </c>
      <c r="L146" s="4" t="s">
        <v>22</v>
      </c>
      <c r="M146" s="3">
        <v>44901</v>
      </c>
      <c r="N146" s="5">
        <v>749.95</v>
      </c>
    </row>
    <row r="147" spans="1:14" ht="15" thickBot="1">
      <c r="A147" s="2" t="s">
        <v>286</v>
      </c>
      <c r="B147" s="3">
        <v>45608</v>
      </c>
      <c r="C147" s="4" t="s">
        <v>83</v>
      </c>
      <c r="D147" s="4" t="s">
        <v>84</v>
      </c>
      <c r="E147" s="4" t="s">
        <v>31</v>
      </c>
      <c r="F147" s="4" t="s">
        <v>32</v>
      </c>
      <c r="G147" s="4" t="s">
        <v>33</v>
      </c>
      <c r="H147" s="4">
        <v>3</v>
      </c>
      <c r="I147" s="4">
        <v>59.99</v>
      </c>
      <c r="J147" s="4" t="s">
        <v>57</v>
      </c>
      <c r="K147" s="4" t="s">
        <v>35</v>
      </c>
      <c r="L147" s="4" t="s">
        <v>36</v>
      </c>
      <c r="M147" s="3">
        <v>45260</v>
      </c>
      <c r="N147" s="5">
        <v>179.97</v>
      </c>
    </row>
    <row r="148" spans="1:14" ht="15" thickBot="1">
      <c r="A148" s="2" t="s">
        <v>287</v>
      </c>
      <c r="B148" s="3">
        <v>45613</v>
      </c>
      <c r="C148" s="4" t="s">
        <v>234</v>
      </c>
      <c r="D148" s="4" t="s">
        <v>235</v>
      </c>
      <c r="E148" s="4" t="s">
        <v>44</v>
      </c>
      <c r="F148" s="4" t="s">
        <v>45</v>
      </c>
      <c r="G148" s="4" t="s">
        <v>46</v>
      </c>
      <c r="H148" s="4">
        <v>5</v>
      </c>
      <c r="I148" s="4">
        <v>149.99</v>
      </c>
      <c r="J148" s="4" t="s">
        <v>20</v>
      </c>
      <c r="K148" s="4" t="s">
        <v>40</v>
      </c>
      <c r="L148" s="4" t="s">
        <v>22</v>
      </c>
      <c r="M148" s="3">
        <v>44869</v>
      </c>
      <c r="N148" s="5">
        <v>749.95</v>
      </c>
    </row>
    <row r="149" spans="1:14" ht="15" thickBot="1">
      <c r="A149" s="2" t="s">
        <v>288</v>
      </c>
      <c r="B149" s="3">
        <v>45613</v>
      </c>
      <c r="C149" s="4" t="s">
        <v>86</v>
      </c>
      <c r="D149" s="4" t="s">
        <v>87</v>
      </c>
      <c r="E149" s="4" t="s">
        <v>80</v>
      </c>
      <c r="F149" s="4" t="s">
        <v>81</v>
      </c>
      <c r="G149" s="4" t="s">
        <v>19</v>
      </c>
      <c r="H149" s="4">
        <v>2</v>
      </c>
      <c r="I149" s="4">
        <v>699.99</v>
      </c>
      <c r="J149" s="4" t="s">
        <v>34</v>
      </c>
      <c r="K149" s="4" t="s">
        <v>50</v>
      </c>
      <c r="L149" s="4" t="s">
        <v>36</v>
      </c>
      <c r="M149" s="3">
        <v>44770</v>
      </c>
      <c r="N149" s="5">
        <v>1399.98</v>
      </c>
    </row>
    <row r="150" spans="1:14" ht="15" thickBot="1">
      <c r="A150" s="2" t="s">
        <v>289</v>
      </c>
      <c r="B150" s="3">
        <v>45617</v>
      </c>
      <c r="C150" s="4" t="s">
        <v>123</v>
      </c>
      <c r="D150" s="4" t="s">
        <v>124</v>
      </c>
      <c r="E150" s="4" t="s">
        <v>126</v>
      </c>
      <c r="F150" s="4" t="s">
        <v>127</v>
      </c>
      <c r="G150" s="4" t="s">
        <v>46</v>
      </c>
      <c r="H150" s="4">
        <v>4</v>
      </c>
      <c r="I150" s="4">
        <v>199.99</v>
      </c>
      <c r="J150" s="4" t="s">
        <v>57</v>
      </c>
      <c r="K150" s="4" t="s">
        <v>21</v>
      </c>
      <c r="L150" s="4" t="s">
        <v>27</v>
      </c>
      <c r="M150" s="3">
        <v>44427</v>
      </c>
      <c r="N150" s="5">
        <v>799.96</v>
      </c>
    </row>
    <row r="151" spans="1:14" ht="15" thickBot="1">
      <c r="A151" s="2" t="s">
        <v>290</v>
      </c>
      <c r="B151" s="3">
        <v>45619</v>
      </c>
      <c r="C151" s="4" t="s">
        <v>192</v>
      </c>
      <c r="D151" s="4" t="s">
        <v>193</v>
      </c>
      <c r="E151" s="4" t="s">
        <v>31</v>
      </c>
      <c r="F151" s="4" t="s">
        <v>32</v>
      </c>
      <c r="G151" s="4" t="s">
        <v>33</v>
      </c>
      <c r="H151" s="4">
        <v>1</v>
      </c>
      <c r="I151" s="4">
        <v>59.99</v>
      </c>
      <c r="J151" s="4" t="s">
        <v>57</v>
      </c>
      <c r="K151" s="4" t="s">
        <v>50</v>
      </c>
      <c r="L151" s="4" t="s">
        <v>36</v>
      </c>
      <c r="M151" s="3">
        <v>44560</v>
      </c>
      <c r="N151" s="5">
        <v>59.99</v>
      </c>
    </row>
    <row r="152" spans="1:14" ht="15" thickBot="1">
      <c r="A152" s="2" t="s">
        <v>291</v>
      </c>
      <c r="B152" s="3">
        <v>45619</v>
      </c>
      <c r="C152" s="4" t="s">
        <v>154</v>
      </c>
      <c r="D152" s="4" t="s">
        <v>155</v>
      </c>
      <c r="E152" s="4" t="s">
        <v>80</v>
      </c>
      <c r="F152" s="4" t="s">
        <v>81</v>
      </c>
      <c r="G152" s="4" t="s">
        <v>19</v>
      </c>
      <c r="H152" s="4">
        <v>3</v>
      </c>
      <c r="I152" s="4">
        <v>699.99</v>
      </c>
      <c r="J152" s="4" t="s">
        <v>34</v>
      </c>
      <c r="K152" s="4" t="s">
        <v>50</v>
      </c>
      <c r="L152" s="4" t="s">
        <v>36</v>
      </c>
      <c r="M152" s="3">
        <v>44583</v>
      </c>
      <c r="N152" s="5">
        <v>2099.9699999999998</v>
      </c>
    </row>
    <row r="153" spans="1:14" ht="15" thickBot="1">
      <c r="A153" s="2" t="s">
        <v>292</v>
      </c>
      <c r="B153" s="3">
        <v>45622</v>
      </c>
      <c r="C153" s="4" t="s">
        <v>293</v>
      </c>
      <c r="D153" s="4" t="s">
        <v>294</v>
      </c>
      <c r="E153" s="4" t="s">
        <v>17</v>
      </c>
      <c r="F153" s="4" t="s">
        <v>18</v>
      </c>
      <c r="G153" s="4" t="s">
        <v>19</v>
      </c>
      <c r="H153" s="4">
        <v>5</v>
      </c>
      <c r="I153" s="4">
        <v>249.99</v>
      </c>
      <c r="J153" s="4" t="s">
        <v>26</v>
      </c>
      <c r="K153" s="4" t="s">
        <v>40</v>
      </c>
      <c r="L153" s="4" t="s">
        <v>22</v>
      </c>
      <c r="M153" s="3">
        <v>44873</v>
      </c>
      <c r="N153" s="5">
        <v>1249.95</v>
      </c>
    </row>
    <row r="154" spans="1:14" ht="15" thickBot="1">
      <c r="A154" s="2" t="s">
        <v>295</v>
      </c>
      <c r="B154" s="3">
        <v>45623</v>
      </c>
      <c r="C154" s="4" t="s">
        <v>112</v>
      </c>
      <c r="D154" s="4" t="s">
        <v>113</v>
      </c>
      <c r="E154" s="4" t="s">
        <v>44</v>
      </c>
      <c r="F154" s="4" t="s">
        <v>45</v>
      </c>
      <c r="G154" s="4" t="s">
        <v>46</v>
      </c>
      <c r="H154" s="4">
        <v>2</v>
      </c>
      <c r="I154" s="4">
        <v>149.99</v>
      </c>
      <c r="J154" s="4" t="s">
        <v>20</v>
      </c>
      <c r="K154" s="4" t="s">
        <v>35</v>
      </c>
      <c r="L154" s="4" t="s">
        <v>36</v>
      </c>
      <c r="M154" s="3">
        <v>45101</v>
      </c>
      <c r="N154" s="5">
        <v>299.98</v>
      </c>
    </row>
    <row r="155" spans="1:14" ht="15" thickBot="1">
      <c r="A155" s="2" t="s">
        <v>296</v>
      </c>
      <c r="B155" s="3">
        <v>45627</v>
      </c>
      <c r="C155" s="4" t="s">
        <v>29</v>
      </c>
      <c r="D155" s="4" t="s">
        <v>30</v>
      </c>
      <c r="E155" s="4" t="s">
        <v>105</v>
      </c>
      <c r="F155" s="4" t="s">
        <v>106</v>
      </c>
      <c r="G155" s="4" t="s">
        <v>46</v>
      </c>
      <c r="H155" s="4">
        <v>3</v>
      </c>
      <c r="I155" s="4">
        <v>299.99</v>
      </c>
      <c r="J155" s="4" t="s">
        <v>20</v>
      </c>
      <c r="K155" s="4" t="s">
        <v>35</v>
      </c>
      <c r="L155" s="4" t="s">
        <v>27</v>
      </c>
      <c r="M155" s="3">
        <v>44659</v>
      </c>
      <c r="N155" s="5">
        <v>899.97</v>
      </c>
    </row>
    <row r="156" spans="1:14" ht="15" thickBot="1">
      <c r="A156" s="2" t="s">
        <v>297</v>
      </c>
      <c r="B156" s="3">
        <v>45627</v>
      </c>
      <c r="C156" s="4" t="s">
        <v>55</v>
      </c>
      <c r="D156" s="4" t="s">
        <v>56</v>
      </c>
      <c r="E156" s="4" t="s">
        <v>17</v>
      </c>
      <c r="F156" s="4" t="s">
        <v>18</v>
      </c>
      <c r="G156" s="4" t="s">
        <v>19</v>
      </c>
      <c r="H156" s="4">
        <v>5</v>
      </c>
      <c r="I156" s="4">
        <v>249.99</v>
      </c>
      <c r="J156" s="4" t="s">
        <v>20</v>
      </c>
      <c r="K156" s="4" t="s">
        <v>21</v>
      </c>
      <c r="L156" s="4" t="s">
        <v>27</v>
      </c>
      <c r="M156" s="3">
        <v>44485</v>
      </c>
      <c r="N156" s="5">
        <v>1249.95</v>
      </c>
    </row>
    <row r="157" spans="1:14" ht="15" thickBot="1">
      <c r="A157" s="2" t="s">
        <v>298</v>
      </c>
      <c r="B157" s="3">
        <v>45627</v>
      </c>
      <c r="C157" s="4" t="s">
        <v>24</v>
      </c>
      <c r="D157" s="4" t="s">
        <v>25</v>
      </c>
      <c r="E157" s="4" t="s">
        <v>52</v>
      </c>
      <c r="F157" s="4" t="s">
        <v>53</v>
      </c>
      <c r="G157" s="4" t="s">
        <v>19</v>
      </c>
      <c r="H157" s="4">
        <v>2</v>
      </c>
      <c r="I157" s="4">
        <v>149.99</v>
      </c>
      <c r="J157" s="4" t="s">
        <v>20</v>
      </c>
      <c r="K157" s="4" t="s">
        <v>35</v>
      </c>
      <c r="L157" s="4" t="s">
        <v>27</v>
      </c>
      <c r="M157" s="3">
        <v>44475</v>
      </c>
      <c r="N157" s="5">
        <v>299.98</v>
      </c>
    </row>
    <row r="158" spans="1:14" ht="15" thickBot="1">
      <c r="A158" s="2" t="s">
        <v>299</v>
      </c>
      <c r="B158" s="3">
        <v>45627</v>
      </c>
      <c r="C158" s="4" t="s">
        <v>86</v>
      </c>
      <c r="D158" s="4" t="s">
        <v>87</v>
      </c>
      <c r="E158" s="4" t="s">
        <v>80</v>
      </c>
      <c r="F158" s="4" t="s">
        <v>81</v>
      </c>
      <c r="G158" s="4" t="s">
        <v>19</v>
      </c>
      <c r="H158" s="4">
        <v>5</v>
      </c>
      <c r="I158" s="4">
        <v>699.99</v>
      </c>
      <c r="J158" s="4" t="s">
        <v>57</v>
      </c>
      <c r="K158" s="4" t="s">
        <v>50</v>
      </c>
      <c r="L158" s="4" t="s">
        <v>36</v>
      </c>
      <c r="M158" s="3">
        <v>44944</v>
      </c>
      <c r="N158" s="5">
        <v>3499.95</v>
      </c>
    </row>
    <row r="159" spans="1:14" ht="15" thickBot="1">
      <c r="A159" s="2" t="s">
        <v>300</v>
      </c>
      <c r="B159" s="3">
        <v>45629</v>
      </c>
      <c r="C159" s="4" t="s">
        <v>252</v>
      </c>
      <c r="D159" s="4" t="s">
        <v>253</v>
      </c>
      <c r="E159" s="4" t="s">
        <v>17</v>
      </c>
      <c r="F159" s="4" t="s">
        <v>18</v>
      </c>
      <c r="G159" s="4" t="s">
        <v>19</v>
      </c>
      <c r="H159" s="4">
        <v>4</v>
      </c>
      <c r="I159" s="4">
        <v>249.99</v>
      </c>
      <c r="J159" s="4" t="s">
        <v>34</v>
      </c>
      <c r="K159" s="4" t="s">
        <v>63</v>
      </c>
      <c r="L159" s="4" t="s">
        <v>27</v>
      </c>
      <c r="M159" s="3">
        <v>45098</v>
      </c>
      <c r="N159" s="5">
        <v>999.96</v>
      </c>
    </row>
    <row r="160" spans="1:14" ht="15" thickBot="1">
      <c r="A160" s="2" t="s">
        <v>301</v>
      </c>
      <c r="B160" s="3">
        <v>45630</v>
      </c>
      <c r="C160" s="4" t="s">
        <v>48</v>
      </c>
      <c r="D160" s="4" t="s">
        <v>49</v>
      </c>
      <c r="E160" s="4" t="s">
        <v>80</v>
      </c>
      <c r="F160" s="4" t="s">
        <v>81</v>
      </c>
      <c r="G160" s="4" t="s">
        <v>19</v>
      </c>
      <c r="H160" s="4">
        <v>4</v>
      </c>
      <c r="I160" s="4">
        <v>699.99</v>
      </c>
      <c r="J160" s="4" t="s">
        <v>26</v>
      </c>
      <c r="K160" s="4" t="s">
        <v>40</v>
      </c>
      <c r="L160" s="4" t="s">
        <v>27</v>
      </c>
      <c r="M160" s="3">
        <v>44703</v>
      </c>
      <c r="N160" s="5">
        <v>2799.96</v>
      </c>
    </row>
    <row r="161" spans="1:14" ht="15" thickBot="1">
      <c r="A161" s="2" t="s">
        <v>302</v>
      </c>
      <c r="B161" s="3">
        <v>45635</v>
      </c>
      <c r="C161" s="4" t="s">
        <v>108</v>
      </c>
      <c r="D161" s="4" t="s">
        <v>109</v>
      </c>
      <c r="E161" s="4" t="s">
        <v>17</v>
      </c>
      <c r="F161" s="4" t="s">
        <v>18</v>
      </c>
      <c r="G161" s="4" t="s">
        <v>19</v>
      </c>
      <c r="H161" s="4">
        <v>2</v>
      </c>
      <c r="I161" s="4">
        <v>249.99</v>
      </c>
      <c r="J161" s="4" t="s">
        <v>26</v>
      </c>
      <c r="K161" s="4" t="s">
        <v>21</v>
      </c>
      <c r="L161" s="4" t="s">
        <v>27</v>
      </c>
      <c r="M161" s="3">
        <v>44396</v>
      </c>
      <c r="N161" s="5">
        <v>499.98</v>
      </c>
    </row>
    <row r="162" spans="1:14" ht="15" thickBot="1">
      <c r="A162" s="2" t="s">
        <v>303</v>
      </c>
      <c r="B162" s="3">
        <v>45635</v>
      </c>
      <c r="C162" s="4" t="s">
        <v>304</v>
      </c>
      <c r="D162" s="4" t="s">
        <v>305</v>
      </c>
      <c r="E162" s="4" t="s">
        <v>31</v>
      </c>
      <c r="F162" s="4" t="s">
        <v>32</v>
      </c>
      <c r="G162" s="4" t="s">
        <v>33</v>
      </c>
      <c r="H162" s="4">
        <v>3</v>
      </c>
      <c r="I162" s="4">
        <v>59.99</v>
      </c>
      <c r="J162" s="4" t="s">
        <v>20</v>
      </c>
      <c r="K162" s="4" t="s">
        <v>21</v>
      </c>
      <c r="L162" s="4" t="s">
        <v>27</v>
      </c>
      <c r="M162" s="3">
        <v>45052</v>
      </c>
      <c r="N162" s="5">
        <v>179.97</v>
      </c>
    </row>
    <row r="163" spans="1:14" ht="15" thickBot="1">
      <c r="A163" s="2" t="s">
        <v>306</v>
      </c>
      <c r="B163" s="3">
        <v>45635</v>
      </c>
      <c r="C163" s="4" t="s">
        <v>141</v>
      </c>
      <c r="D163" s="4" t="s">
        <v>142</v>
      </c>
      <c r="E163" s="4" t="s">
        <v>114</v>
      </c>
      <c r="F163" s="4" t="s">
        <v>115</v>
      </c>
      <c r="G163" s="4" t="s">
        <v>33</v>
      </c>
      <c r="H163" s="4">
        <v>4</v>
      </c>
      <c r="I163" s="4">
        <v>79.989999999999995</v>
      </c>
      <c r="J163" s="4" t="s">
        <v>57</v>
      </c>
      <c r="K163" s="4" t="s">
        <v>63</v>
      </c>
      <c r="L163" s="4" t="s">
        <v>36</v>
      </c>
      <c r="M163" s="3">
        <v>44921</v>
      </c>
      <c r="N163" s="5">
        <v>319.95999999999998</v>
      </c>
    </row>
    <row r="164" spans="1:14" ht="15" thickBot="1">
      <c r="A164" s="2" t="s">
        <v>307</v>
      </c>
      <c r="B164" s="3">
        <v>45636</v>
      </c>
      <c r="C164" s="4" t="s">
        <v>120</v>
      </c>
      <c r="D164" s="4" t="s">
        <v>121</v>
      </c>
      <c r="E164" s="4" t="s">
        <v>114</v>
      </c>
      <c r="F164" s="4" t="s">
        <v>115</v>
      </c>
      <c r="G164" s="4" t="s">
        <v>33</v>
      </c>
      <c r="H164" s="4">
        <v>3</v>
      </c>
      <c r="I164" s="4">
        <v>79.989999999999995</v>
      </c>
      <c r="J164" s="4" t="s">
        <v>57</v>
      </c>
      <c r="K164" s="4" t="s">
        <v>63</v>
      </c>
      <c r="L164" s="4" t="s">
        <v>36</v>
      </c>
      <c r="M164" s="3">
        <v>44779</v>
      </c>
      <c r="N164" s="5">
        <v>239.97</v>
      </c>
    </row>
    <row r="165" spans="1:14" ht="15" thickBot="1">
      <c r="A165" s="2" t="s">
        <v>308</v>
      </c>
      <c r="B165" s="3">
        <v>45638</v>
      </c>
      <c r="C165" s="4" t="s">
        <v>72</v>
      </c>
      <c r="D165" s="4" t="s">
        <v>73</v>
      </c>
      <c r="E165" s="4" t="s">
        <v>61</v>
      </c>
      <c r="F165" s="4" t="s">
        <v>62</v>
      </c>
      <c r="G165" s="4" t="s">
        <v>19</v>
      </c>
      <c r="H165" s="4">
        <v>2</v>
      </c>
      <c r="I165" s="4">
        <v>899.99</v>
      </c>
      <c r="J165" s="4" t="s">
        <v>20</v>
      </c>
      <c r="K165" s="4" t="s">
        <v>40</v>
      </c>
      <c r="L165" s="4" t="s">
        <v>22</v>
      </c>
      <c r="M165" s="3">
        <v>44406</v>
      </c>
      <c r="N165" s="5">
        <v>1799.98</v>
      </c>
    </row>
    <row r="166" spans="1:14" ht="15" thickBot="1">
      <c r="A166" s="2" t="s">
        <v>309</v>
      </c>
      <c r="B166" s="3">
        <v>45641</v>
      </c>
      <c r="C166" s="4" t="s">
        <v>182</v>
      </c>
      <c r="D166" s="4" t="s">
        <v>183</v>
      </c>
      <c r="E166" s="4" t="s">
        <v>44</v>
      </c>
      <c r="F166" s="4" t="s">
        <v>45</v>
      </c>
      <c r="G166" s="4" t="s">
        <v>46</v>
      </c>
      <c r="H166" s="4">
        <v>1</v>
      </c>
      <c r="I166" s="4">
        <v>149.99</v>
      </c>
      <c r="J166" s="4" t="s">
        <v>57</v>
      </c>
      <c r="K166" s="4" t="s">
        <v>63</v>
      </c>
      <c r="L166" s="4" t="s">
        <v>36</v>
      </c>
      <c r="M166" s="3">
        <v>45200</v>
      </c>
      <c r="N166" s="5">
        <v>149.99</v>
      </c>
    </row>
    <row r="167" spans="1:14" ht="15" thickBot="1">
      <c r="A167" s="2" t="s">
        <v>310</v>
      </c>
      <c r="B167" s="3">
        <v>45641</v>
      </c>
      <c r="C167" s="4" t="s">
        <v>138</v>
      </c>
      <c r="D167" s="4" t="s">
        <v>139</v>
      </c>
      <c r="E167" s="4" t="s">
        <v>105</v>
      </c>
      <c r="F167" s="4" t="s">
        <v>106</v>
      </c>
      <c r="G167" s="4" t="s">
        <v>46</v>
      </c>
      <c r="H167" s="4">
        <v>2</v>
      </c>
      <c r="I167" s="4">
        <v>299.99</v>
      </c>
      <c r="J167" s="4" t="s">
        <v>20</v>
      </c>
      <c r="K167" s="4" t="s">
        <v>63</v>
      </c>
      <c r="L167" s="4" t="s">
        <v>27</v>
      </c>
      <c r="M167" s="3">
        <v>44724</v>
      </c>
      <c r="N167" s="5">
        <v>599.98</v>
      </c>
    </row>
    <row r="168" spans="1:14" ht="15" thickBot="1">
      <c r="A168" s="2" t="s">
        <v>311</v>
      </c>
      <c r="B168" s="3">
        <v>45644</v>
      </c>
      <c r="C168" s="4" t="s">
        <v>132</v>
      </c>
      <c r="D168" s="4" t="s">
        <v>133</v>
      </c>
      <c r="E168" s="4" t="s">
        <v>31</v>
      </c>
      <c r="F168" s="4" t="s">
        <v>32</v>
      </c>
      <c r="G168" s="4" t="s">
        <v>33</v>
      </c>
      <c r="H168" s="4">
        <v>2</v>
      </c>
      <c r="I168" s="4">
        <v>59.99</v>
      </c>
      <c r="J168" s="4" t="s">
        <v>20</v>
      </c>
      <c r="K168" s="4" t="s">
        <v>50</v>
      </c>
      <c r="L168" s="4" t="s">
        <v>22</v>
      </c>
      <c r="M168" s="3">
        <v>45191</v>
      </c>
      <c r="N168" s="5">
        <v>119.98</v>
      </c>
    </row>
    <row r="169" spans="1:14" ht="15" thickBot="1">
      <c r="A169" s="2" t="s">
        <v>312</v>
      </c>
      <c r="B169" s="3">
        <v>45645</v>
      </c>
      <c r="C169" s="4" t="s">
        <v>182</v>
      </c>
      <c r="D169" s="4" t="s">
        <v>183</v>
      </c>
      <c r="E169" s="4" t="s">
        <v>117</v>
      </c>
      <c r="F169" s="4" t="s">
        <v>118</v>
      </c>
      <c r="G169" s="4" t="s">
        <v>19</v>
      </c>
      <c r="H169" s="4">
        <v>1</v>
      </c>
      <c r="I169" s="4">
        <v>89.99</v>
      </c>
      <c r="J169" s="4" t="s">
        <v>57</v>
      </c>
      <c r="K169" s="4" t="s">
        <v>21</v>
      </c>
      <c r="L169" s="4" t="s">
        <v>36</v>
      </c>
      <c r="M169" s="3">
        <v>44760</v>
      </c>
      <c r="N169" s="5">
        <v>89.99</v>
      </c>
    </row>
    <row r="170" spans="1:14" ht="15" thickBot="1">
      <c r="A170" s="2" t="s">
        <v>313</v>
      </c>
      <c r="B170" s="3">
        <v>45645</v>
      </c>
      <c r="C170" s="4" t="s">
        <v>147</v>
      </c>
      <c r="D170" s="4" t="s">
        <v>148</v>
      </c>
      <c r="E170" s="4" t="s">
        <v>61</v>
      </c>
      <c r="F170" s="4" t="s">
        <v>62</v>
      </c>
      <c r="G170" s="4" t="s">
        <v>19</v>
      </c>
      <c r="H170" s="4">
        <v>5</v>
      </c>
      <c r="I170" s="4">
        <v>899.99</v>
      </c>
      <c r="J170" s="4" t="s">
        <v>57</v>
      </c>
      <c r="K170" s="4" t="s">
        <v>63</v>
      </c>
      <c r="L170" s="4" t="s">
        <v>36</v>
      </c>
      <c r="M170" s="3">
        <v>44625</v>
      </c>
      <c r="N170" s="5">
        <v>4499.95</v>
      </c>
    </row>
    <row r="171" spans="1:14" ht="15" thickBot="1">
      <c r="A171" s="2" t="s">
        <v>314</v>
      </c>
      <c r="B171" s="3">
        <v>45646</v>
      </c>
      <c r="C171" s="4" t="s">
        <v>42</v>
      </c>
      <c r="D171" s="4" t="s">
        <v>43</v>
      </c>
      <c r="E171" s="4" t="s">
        <v>44</v>
      </c>
      <c r="F171" s="4" t="s">
        <v>45</v>
      </c>
      <c r="G171" s="4" t="s">
        <v>46</v>
      </c>
      <c r="H171" s="4">
        <v>2</v>
      </c>
      <c r="I171" s="4">
        <v>149.99</v>
      </c>
      <c r="J171" s="4" t="s">
        <v>20</v>
      </c>
      <c r="K171" s="4" t="s">
        <v>35</v>
      </c>
      <c r="L171" s="4" t="s">
        <v>22</v>
      </c>
      <c r="M171" s="3">
        <v>45239</v>
      </c>
      <c r="N171" s="5">
        <v>299.98</v>
      </c>
    </row>
    <row r="172" spans="1:14" ht="15" thickBot="1">
      <c r="A172" s="2" t="s">
        <v>315</v>
      </c>
      <c r="B172" s="3">
        <v>45648</v>
      </c>
      <c r="C172" s="4" t="s">
        <v>112</v>
      </c>
      <c r="D172" s="4" t="s">
        <v>113</v>
      </c>
      <c r="E172" s="4" t="s">
        <v>52</v>
      </c>
      <c r="F172" s="4" t="s">
        <v>53</v>
      </c>
      <c r="G172" s="4" t="s">
        <v>19</v>
      </c>
      <c r="H172" s="4">
        <v>2</v>
      </c>
      <c r="I172" s="4">
        <v>149.99</v>
      </c>
      <c r="J172" s="4" t="s">
        <v>57</v>
      </c>
      <c r="K172" s="4" t="s">
        <v>50</v>
      </c>
      <c r="L172" s="4" t="s">
        <v>27</v>
      </c>
      <c r="M172" s="3">
        <v>45280</v>
      </c>
      <c r="N172" s="5">
        <v>299.98</v>
      </c>
    </row>
    <row r="173" spans="1:14" ht="15" thickBot="1">
      <c r="A173" s="2" t="s">
        <v>316</v>
      </c>
      <c r="B173" s="3">
        <v>45648</v>
      </c>
      <c r="C173" s="4" t="s">
        <v>182</v>
      </c>
      <c r="D173" s="4" t="s">
        <v>183</v>
      </c>
      <c r="E173" s="4" t="s">
        <v>44</v>
      </c>
      <c r="F173" s="4" t="s">
        <v>45</v>
      </c>
      <c r="G173" s="4" t="s">
        <v>46</v>
      </c>
      <c r="H173" s="4">
        <v>3</v>
      </c>
      <c r="I173" s="4">
        <v>149.99</v>
      </c>
      <c r="J173" s="4" t="s">
        <v>57</v>
      </c>
      <c r="K173" s="4" t="s">
        <v>40</v>
      </c>
      <c r="L173" s="4" t="s">
        <v>36</v>
      </c>
      <c r="M173" s="3">
        <v>44522</v>
      </c>
      <c r="N173" s="5">
        <v>449.97</v>
      </c>
    </row>
    <row r="174" spans="1:14" ht="15" thickBot="1">
      <c r="A174" s="2" t="s">
        <v>317</v>
      </c>
      <c r="B174" s="3">
        <v>45649</v>
      </c>
      <c r="C174" s="4" t="s">
        <v>29</v>
      </c>
      <c r="D174" s="4" t="s">
        <v>30</v>
      </c>
      <c r="E174" s="4" t="s">
        <v>105</v>
      </c>
      <c r="F174" s="4" t="s">
        <v>106</v>
      </c>
      <c r="G174" s="4" t="s">
        <v>46</v>
      </c>
      <c r="H174" s="4">
        <v>2</v>
      </c>
      <c r="I174" s="4">
        <v>299.99</v>
      </c>
      <c r="J174" s="4" t="s">
        <v>34</v>
      </c>
      <c r="K174" s="4" t="s">
        <v>35</v>
      </c>
      <c r="L174" s="4" t="s">
        <v>22</v>
      </c>
      <c r="M174" s="3">
        <v>44721</v>
      </c>
      <c r="N174" s="5">
        <v>599.98</v>
      </c>
    </row>
    <row r="175" spans="1:14" ht="15" thickBot="1">
      <c r="A175" s="2" t="s">
        <v>318</v>
      </c>
      <c r="B175" s="3">
        <v>45654</v>
      </c>
      <c r="C175" s="4" t="s">
        <v>42</v>
      </c>
      <c r="D175" s="4" t="s">
        <v>43</v>
      </c>
      <c r="E175" s="4" t="s">
        <v>105</v>
      </c>
      <c r="F175" s="4" t="s">
        <v>106</v>
      </c>
      <c r="G175" s="4" t="s">
        <v>46</v>
      </c>
      <c r="H175" s="4">
        <v>2</v>
      </c>
      <c r="I175" s="4">
        <v>299.99</v>
      </c>
      <c r="J175" s="4" t="s">
        <v>20</v>
      </c>
      <c r="K175" s="4" t="s">
        <v>50</v>
      </c>
      <c r="L175" s="4" t="s">
        <v>22</v>
      </c>
      <c r="M175" s="3">
        <v>44771</v>
      </c>
      <c r="N175" s="5">
        <v>599.98</v>
      </c>
    </row>
    <row r="176" spans="1:14" ht="15" thickBot="1">
      <c r="A176" s="2" t="s">
        <v>319</v>
      </c>
      <c r="B176" s="3">
        <v>45654</v>
      </c>
      <c r="C176" s="4" t="s">
        <v>120</v>
      </c>
      <c r="D176" s="4" t="s">
        <v>121</v>
      </c>
      <c r="E176" s="4" t="s">
        <v>126</v>
      </c>
      <c r="F176" s="4" t="s">
        <v>127</v>
      </c>
      <c r="G176" s="4" t="s">
        <v>46</v>
      </c>
      <c r="H176" s="4">
        <v>4</v>
      </c>
      <c r="I176" s="4">
        <v>199.99</v>
      </c>
      <c r="J176" s="4" t="s">
        <v>26</v>
      </c>
      <c r="K176" s="4" t="s">
        <v>21</v>
      </c>
      <c r="L176" s="4" t="s">
        <v>22</v>
      </c>
      <c r="M176" s="3">
        <v>44523</v>
      </c>
      <c r="N176" s="5">
        <v>799.96</v>
      </c>
    </row>
    <row r="177" spans="1:14" ht="15" thickBot="1">
      <c r="A177" s="2" t="s">
        <v>320</v>
      </c>
      <c r="B177" s="3">
        <v>45655</v>
      </c>
      <c r="C177" s="4" t="s">
        <v>59</v>
      </c>
      <c r="D177" s="4" t="s">
        <v>60</v>
      </c>
      <c r="E177" s="4" t="s">
        <v>117</v>
      </c>
      <c r="F177" s="4" t="s">
        <v>118</v>
      </c>
      <c r="G177" s="4" t="s">
        <v>19</v>
      </c>
      <c r="H177" s="4">
        <v>1</v>
      </c>
      <c r="I177" s="4">
        <v>89.99</v>
      </c>
      <c r="J177" s="4" t="s">
        <v>26</v>
      </c>
      <c r="K177" s="4" t="s">
        <v>35</v>
      </c>
      <c r="L177" s="4" t="s">
        <v>27</v>
      </c>
      <c r="M177" s="3">
        <v>44591</v>
      </c>
      <c r="N177" s="5">
        <v>89.99</v>
      </c>
    </row>
    <row r="178" spans="1:14" ht="15" thickBot="1">
      <c r="A178" s="2" t="s">
        <v>321</v>
      </c>
      <c r="B178" s="3">
        <v>45655</v>
      </c>
      <c r="C178" s="4" t="s">
        <v>108</v>
      </c>
      <c r="D178" s="4" t="s">
        <v>109</v>
      </c>
      <c r="E178" s="4" t="s">
        <v>44</v>
      </c>
      <c r="F178" s="4" t="s">
        <v>45</v>
      </c>
      <c r="G178" s="4" t="s">
        <v>46</v>
      </c>
      <c r="H178" s="4">
        <v>5</v>
      </c>
      <c r="I178" s="4">
        <v>149.99</v>
      </c>
      <c r="J178" s="4" t="s">
        <v>20</v>
      </c>
      <c r="K178" s="4" t="s">
        <v>21</v>
      </c>
      <c r="L178" s="4" t="s">
        <v>27</v>
      </c>
      <c r="M178" s="3">
        <v>45347</v>
      </c>
      <c r="N178" s="5">
        <v>749.95</v>
      </c>
    </row>
    <row r="179" spans="1:14" ht="15" thickBot="1">
      <c r="A179" s="2" t="s">
        <v>322</v>
      </c>
      <c r="B179" s="3">
        <v>45657</v>
      </c>
      <c r="C179" s="4" t="s">
        <v>86</v>
      </c>
      <c r="D179" s="4" t="s">
        <v>87</v>
      </c>
      <c r="E179" s="4" t="s">
        <v>61</v>
      </c>
      <c r="F179" s="4" t="s">
        <v>62</v>
      </c>
      <c r="G179" s="4" t="s">
        <v>19</v>
      </c>
      <c r="H179" s="4">
        <v>1</v>
      </c>
      <c r="I179" s="4">
        <v>899.99</v>
      </c>
      <c r="J179" s="4" t="s">
        <v>34</v>
      </c>
      <c r="K179" s="4" t="s">
        <v>40</v>
      </c>
      <c r="L179" s="4" t="s">
        <v>27</v>
      </c>
      <c r="M179" s="3">
        <v>45050</v>
      </c>
      <c r="N179" s="5">
        <v>899.99</v>
      </c>
    </row>
    <row r="180" spans="1:14" ht="15" thickBot="1">
      <c r="A180" s="2" t="s">
        <v>323</v>
      </c>
      <c r="B180" s="3">
        <v>45660</v>
      </c>
      <c r="C180" s="4" t="s">
        <v>147</v>
      </c>
      <c r="D180" s="4" t="s">
        <v>148</v>
      </c>
      <c r="E180" s="4" t="s">
        <v>117</v>
      </c>
      <c r="F180" s="4" t="s">
        <v>118</v>
      </c>
      <c r="G180" s="4" t="s">
        <v>19</v>
      </c>
      <c r="H180" s="4">
        <v>2</v>
      </c>
      <c r="I180" s="4">
        <v>89.99</v>
      </c>
      <c r="J180" s="4" t="s">
        <v>26</v>
      </c>
      <c r="K180" s="4" t="s">
        <v>35</v>
      </c>
      <c r="L180" s="4" t="s">
        <v>27</v>
      </c>
      <c r="M180" s="3">
        <v>44564</v>
      </c>
      <c r="N180" s="5">
        <v>179.98</v>
      </c>
    </row>
    <row r="181" spans="1:14" ht="15" thickBot="1">
      <c r="A181" s="2" t="s">
        <v>324</v>
      </c>
      <c r="B181" s="3">
        <v>45661</v>
      </c>
      <c r="C181" s="4" t="s">
        <v>325</v>
      </c>
      <c r="D181" s="4" t="s">
        <v>326</v>
      </c>
      <c r="E181" s="4" t="s">
        <v>61</v>
      </c>
      <c r="F181" s="4" t="s">
        <v>62</v>
      </c>
      <c r="G181" s="4" t="s">
        <v>19</v>
      </c>
      <c r="H181" s="4">
        <v>1</v>
      </c>
      <c r="I181" s="4">
        <v>899.99</v>
      </c>
      <c r="J181" s="4" t="s">
        <v>34</v>
      </c>
      <c r="K181" s="4" t="s">
        <v>40</v>
      </c>
      <c r="L181" s="4" t="s">
        <v>36</v>
      </c>
      <c r="M181" s="3">
        <v>44752</v>
      </c>
      <c r="N181" s="5">
        <v>899.99</v>
      </c>
    </row>
    <row r="182" spans="1:14" ht="15" thickBot="1">
      <c r="A182" s="2" t="s">
        <v>327</v>
      </c>
      <c r="B182" s="3">
        <v>45663</v>
      </c>
      <c r="C182" s="4" t="s">
        <v>129</v>
      </c>
      <c r="D182" s="4" t="s">
        <v>130</v>
      </c>
      <c r="E182" s="4" t="s">
        <v>52</v>
      </c>
      <c r="F182" s="4" t="s">
        <v>53</v>
      </c>
      <c r="G182" s="4" t="s">
        <v>19</v>
      </c>
      <c r="H182" s="4">
        <v>5</v>
      </c>
      <c r="I182" s="4">
        <v>149.99</v>
      </c>
      <c r="J182" s="4" t="s">
        <v>34</v>
      </c>
      <c r="K182" s="4" t="s">
        <v>63</v>
      </c>
      <c r="L182" s="4" t="s">
        <v>27</v>
      </c>
      <c r="M182" s="3">
        <v>44824</v>
      </c>
      <c r="N182" s="5">
        <v>749.95</v>
      </c>
    </row>
    <row r="183" spans="1:14" ht="15" thickBot="1">
      <c r="A183" s="2" t="s">
        <v>328</v>
      </c>
      <c r="B183" s="3">
        <v>45663</v>
      </c>
      <c r="C183" s="4" t="s">
        <v>42</v>
      </c>
      <c r="D183" s="4" t="s">
        <v>43</v>
      </c>
      <c r="E183" s="4" t="s">
        <v>105</v>
      </c>
      <c r="F183" s="4" t="s">
        <v>106</v>
      </c>
      <c r="G183" s="4" t="s">
        <v>46</v>
      </c>
      <c r="H183" s="4">
        <v>3</v>
      </c>
      <c r="I183" s="4">
        <v>299.99</v>
      </c>
      <c r="J183" s="4" t="s">
        <v>20</v>
      </c>
      <c r="K183" s="4" t="s">
        <v>35</v>
      </c>
      <c r="L183" s="4" t="s">
        <v>36</v>
      </c>
      <c r="M183" s="3">
        <v>44422</v>
      </c>
      <c r="N183" s="5">
        <v>899.97</v>
      </c>
    </row>
    <row r="184" spans="1:14" ht="15" thickBot="1">
      <c r="A184" s="2" t="s">
        <v>329</v>
      </c>
      <c r="B184" s="3">
        <v>45666</v>
      </c>
      <c r="C184" s="4" t="s">
        <v>65</v>
      </c>
      <c r="D184" s="4" t="s">
        <v>66</v>
      </c>
      <c r="E184" s="4" t="s">
        <v>80</v>
      </c>
      <c r="F184" s="4" t="s">
        <v>81</v>
      </c>
      <c r="G184" s="4" t="s">
        <v>19</v>
      </c>
      <c r="H184" s="4">
        <v>3</v>
      </c>
      <c r="I184" s="4">
        <v>699.99</v>
      </c>
      <c r="J184" s="4" t="s">
        <v>26</v>
      </c>
      <c r="K184" s="4" t="s">
        <v>21</v>
      </c>
      <c r="L184" s="4" t="s">
        <v>27</v>
      </c>
      <c r="M184" s="3">
        <v>45105</v>
      </c>
      <c r="N184" s="5">
        <v>2099.9699999999998</v>
      </c>
    </row>
    <row r="185" spans="1:14" ht="15" thickBot="1">
      <c r="A185" s="2" t="s">
        <v>330</v>
      </c>
      <c r="B185" s="3">
        <v>45667</v>
      </c>
      <c r="C185" s="4" t="s">
        <v>108</v>
      </c>
      <c r="D185" s="4" t="s">
        <v>109</v>
      </c>
      <c r="E185" s="4" t="s">
        <v>126</v>
      </c>
      <c r="F185" s="4" t="s">
        <v>127</v>
      </c>
      <c r="G185" s="4" t="s">
        <v>46</v>
      </c>
      <c r="H185" s="4">
        <v>5</v>
      </c>
      <c r="I185" s="4">
        <v>199.99</v>
      </c>
      <c r="J185" s="4" t="s">
        <v>34</v>
      </c>
      <c r="K185" s="4" t="s">
        <v>21</v>
      </c>
      <c r="L185" s="4" t="s">
        <v>36</v>
      </c>
      <c r="M185" s="3">
        <v>44633</v>
      </c>
      <c r="N185" s="5">
        <v>999.95</v>
      </c>
    </row>
    <row r="186" spans="1:14" ht="15" thickBot="1">
      <c r="A186" s="2" t="s">
        <v>331</v>
      </c>
      <c r="B186" s="3">
        <v>45667</v>
      </c>
      <c r="C186" s="4" t="s">
        <v>93</v>
      </c>
      <c r="D186" s="4" t="s">
        <v>94</v>
      </c>
      <c r="E186" s="4" t="s">
        <v>17</v>
      </c>
      <c r="F186" s="4" t="s">
        <v>18</v>
      </c>
      <c r="G186" s="4" t="s">
        <v>19</v>
      </c>
      <c r="H186" s="4">
        <v>5</v>
      </c>
      <c r="I186" s="4">
        <v>249.99</v>
      </c>
      <c r="J186" s="4" t="s">
        <v>26</v>
      </c>
      <c r="K186" s="4" t="s">
        <v>35</v>
      </c>
      <c r="L186" s="4" t="s">
        <v>22</v>
      </c>
      <c r="M186" s="3">
        <v>45330</v>
      </c>
      <c r="N186" s="5">
        <v>1249.95</v>
      </c>
    </row>
    <row r="187" spans="1:14" ht="15" thickBot="1">
      <c r="A187" s="2" t="s">
        <v>332</v>
      </c>
      <c r="B187" s="3">
        <v>45668</v>
      </c>
      <c r="C187" s="4" t="s">
        <v>138</v>
      </c>
      <c r="D187" s="4" t="s">
        <v>139</v>
      </c>
      <c r="E187" s="4" t="s">
        <v>52</v>
      </c>
      <c r="F187" s="4" t="s">
        <v>53</v>
      </c>
      <c r="G187" s="4" t="s">
        <v>19</v>
      </c>
      <c r="H187" s="4">
        <v>4</v>
      </c>
      <c r="I187" s="4">
        <v>149.99</v>
      </c>
      <c r="J187" s="4" t="s">
        <v>57</v>
      </c>
      <c r="K187" s="4" t="s">
        <v>63</v>
      </c>
      <c r="L187" s="4" t="s">
        <v>36</v>
      </c>
      <c r="M187" s="3">
        <v>44536</v>
      </c>
      <c r="N187" s="5">
        <v>599.96</v>
      </c>
    </row>
    <row r="188" spans="1:14" ht="15" thickBot="1">
      <c r="A188" s="2" t="s">
        <v>333</v>
      </c>
      <c r="B188" s="3">
        <v>45668</v>
      </c>
      <c r="C188" s="4" t="s">
        <v>78</v>
      </c>
      <c r="D188" s="4" t="s">
        <v>79</v>
      </c>
      <c r="E188" s="4" t="s">
        <v>80</v>
      </c>
      <c r="F188" s="4" t="s">
        <v>81</v>
      </c>
      <c r="G188" s="4" t="s">
        <v>19</v>
      </c>
      <c r="H188" s="4">
        <v>3</v>
      </c>
      <c r="I188" s="4">
        <v>699.99</v>
      </c>
      <c r="J188" s="4" t="s">
        <v>20</v>
      </c>
      <c r="K188" s="4" t="s">
        <v>40</v>
      </c>
      <c r="L188" s="4" t="s">
        <v>27</v>
      </c>
      <c r="M188" s="3">
        <v>44602</v>
      </c>
      <c r="N188" s="5">
        <v>2099.9699999999998</v>
      </c>
    </row>
    <row r="189" spans="1:14" ht="15" thickBot="1">
      <c r="A189" s="2" t="s">
        <v>334</v>
      </c>
      <c r="B189" s="3">
        <v>45670</v>
      </c>
      <c r="C189" s="4" t="s">
        <v>293</v>
      </c>
      <c r="D189" s="4" t="s">
        <v>294</v>
      </c>
      <c r="E189" s="4" t="s">
        <v>114</v>
      </c>
      <c r="F189" s="4" t="s">
        <v>115</v>
      </c>
      <c r="G189" s="4" t="s">
        <v>33</v>
      </c>
      <c r="H189" s="4">
        <v>1</v>
      </c>
      <c r="I189" s="4">
        <v>79.989999999999995</v>
      </c>
      <c r="J189" s="4" t="s">
        <v>26</v>
      </c>
      <c r="K189" s="4" t="s">
        <v>35</v>
      </c>
      <c r="L189" s="4" t="s">
        <v>22</v>
      </c>
      <c r="M189" s="3">
        <v>45322</v>
      </c>
      <c r="N189" s="5">
        <v>79.989999999999995</v>
      </c>
    </row>
    <row r="190" spans="1:14" ht="15" thickBot="1">
      <c r="A190" s="2" t="s">
        <v>335</v>
      </c>
      <c r="B190" s="3">
        <v>45670</v>
      </c>
      <c r="C190" s="4" t="s">
        <v>86</v>
      </c>
      <c r="D190" s="4" t="s">
        <v>87</v>
      </c>
      <c r="E190" s="4" t="s">
        <v>105</v>
      </c>
      <c r="F190" s="4" t="s">
        <v>106</v>
      </c>
      <c r="G190" s="4" t="s">
        <v>46</v>
      </c>
      <c r="H190" s="4">
        <v>1</v>
      </c>
      <c r="I190" s="4">
        <v>299.99</v>
      </c>
      <c r="J190" s="4" t="s">
        <v>26</v>
      </c>
      <c r="K190" s="4" t="s">
        <v>40</v>
      </c>
      <c r="L190" s="4" t="s">
        <v>22</v>
      </c>
      <c r="M190" s="3">
        <v>44436</v>
      </c>
      <c r="N190" s="5">
        <v>299.99</v>
      </c>
    </row>
    <row r="191" spans="1:14" ht="15" thickBot="1">
      <c r="A191" s="2" t="s">
        <v>336</v>
      </c>
      <c r="B191" s="3">
        <v>45671</v>
      </c>
      <c r="C191" s="4" t="s">
        <v>158</v>
      </c>
      <c r="D191" s="4" t="s">
        <v>159</v>
      </c>
      <c r="E191" s="4" t="s">
        <v>17</v>
      </c>
      <c r="F191" s="4" t="s">
        <v>18</v>
      </c>
      <c r="G191" s="4" t="s">
        <v>19</v>
      </c>
      <c r="H191" s="4">
        <v>4</v>
      </c>
      <c r="I191" s="4">
        <v>249.99</v>
      </c>
      <c r="J191" s="4" t="s">
        <v>26</v>
      </c>
      <c r="K191" s="4" t="s">
        <v>40</v>
      </c>
      <c r="L191" s="4" t="s">
        <v>27</v>
      </c>
      <c r="M191" s="3">
        <v>44460</v>
      </c>
      <c r="N191" s="5">
        <v>999.96</v>
      </c>
    </row>
    <row r="192" spans="1:14" ht="15" thickBot="1">
      <c r="A192" s="2" t="s">
        <v>337</v>
      </c>
      <c r="B192" s="3">
        <v>45671</v>
      </c>
      <c r="C192" s="4" t="s">
        <v>120</v>
      </c>
      <c r="D192" s="4" t="s">
        <v>121</v>
      </c>
      <c r="E192" s="4" t="s">
        <v>52</v>
      </c>
      <c r="F192" s="4" t="s">
        <v>53</v>
      </c>
      <c r="G192" s="4" t="s">
        <v>19</v>
      </c>
      <c r="H192" s="4">
        <v>2</v>
      </c>
      <c r="I192" s="4">
        <v>149.99</v>
      </c>
      <c r="J192" s="4" t="s">
        <v>20</v>
      </c>
      <c r="K192" s="4" t="s">
        <v>40</v>
      </c>
      <c r="L192" s="4" t="s">
        <v>36</v>
      </c>
      <c r="M192" s="3">
        <v>44913</v>
      </c>
      <c r="N192" s="5">
        <v>299.98</v>
      </c>
    </row>
    <row r="193" spans="1:14" ht="15" thickBot="1">
      <c r="A193" s="2" t="s">
        <v>338</v>
      </c>
      <c r="B193" s="3">
        <v>45671</v>
      </c>
      <c r="C193" s="4" t="s">
        <v>234</v>
      </c>
      <c r="D193" s="4" t="s">
        <v>235</v>
      </c>
      <c r="E193" s="4" t="s">
        <v>105</v>
      </c>
      <c r="F193" s="4" t="s">
        <v>106</v>
      </c>
      <c r="G193" s="4" t="s">
        <v>46</v>
      </c>
      <c r="H193" s="4">
        <v>3</v>
      </c>
      <c r="I193" s="4">
        <v>299.99</v>
      </c>
      <c r="J193" s="4" t="s">
        <v>26</v>
      </c>
      <c r="K193" s="4" t="s">
        <v>35</v>
      </c>
      <c r="L193" s="4" t="s">
        <v>22</v>
      </c>
      <c r="M193" s="3">
        <v>45204</v>
      </c>
      <c r="N193" s="5">
        <v>899.97</v>
      </c>
    </row>
    <row r="194" spans="1:14" ht="15" thickBot="1">
      <c r="A194" s="2" t="s">
        <v>339</v>
      </c>
      <c r="B194" s="3">
        <v>45673</v>
      </c>
      <c r="C194" s="4" t="s">
        <v>226</v>
      </c>
      <c r="D194" s="4" t="s">
        <v>227</v>
      </c>
      <c r="E194" s="4" t="s">
        <v>126</v>
      </c>
      <c r="F194" s="4" t="s">
        <v>127</v>
      </c>
      <c r="G194" s="4" t="s">
        <v>46</v>
      </c>
      <c r="H194" s="4">
        <v>4</v>
      </c>
      <c r="I194" s="4">
        <v>199.99</v>
      </c>
      <c r="J194" s="4" t="s">
        <v>57</v>
      </c>
      <c r="K194" s="4" t="s">
        <v>35</v>
      </c>
      <c r="L194" s="4" t="s">
        <v>36</v>
      </c>
      <c r="M194" s="3">
        <v>44544</v>
      </c>
      <c r="N194" s="5">
        <v>799.96</v>
      </c>
    </row>
    <row r="195" spans="1:14" ht="15" thickBot="1">
      <c r="A195" s="2" t="s">
        <v>340</v>
      </c>
      <c r="B195" s="3">
        <v>45673</v>
      </c>
      <c r="C195" s="4" t="s">
        <v>211</v>
      </c>
      <c r="D195" s="4" t="s">
        <v>212</v>
      </c>
      <c r="E195" s="4" t="s">
        <v>105</v>
      </c>
      <c r="F195" s="4" t="s">
        <v>106</v>
      </c>
      <c r="G195" s="4" t="s">
        <v>46</v>
      </c>
      <c r="H195" s="4">
        <v>5</v>
      </c>
      <c r="I195" s="4">
        <v>299.99</v>
      </c>
      <c r="J195" s="4" t="s">
        <v>57</v>
      </c>
      <c r="K195" s="4" t="s">
        <v>21</v>
      </c>
      <c r="L195" s="4" t="s">
        <v>22</v>
      </c>
      <c r="M195" s="3">
        <v>44431</v>
      </c>
      <c r="N195" s="5">
        <v>1499.95</v>
      </c>
    </row>
    <row r="196" spans="1:14" ht="15" thickBot="1">
      <c r="A196" s="2" t="s">
        <v>341</v>
      </c>
      <c r="B196" s="3">
        <v>45673</v>
      </c>
      <c r="C196" s="4" t="s">
        <v>59</v>
      </c>
      <c r="D196" s="4" t="s">
        <v>60</v>
      </c>
      <c r="E196" s="4" t="s">
        <v>44</v>
      </c>
      <c r="F196" s="4" t="s">
        <v>45</v>
      </c>
      <c r="G196" s="4" t="s">
        <v>46</v>
      </c>
      <c r="H196" s="4">
        <v>3</v>
      </c>
      <c r="I196" s="4">
        <v>149.99</v>
      </c>
      <c r="J196" s="4" t="s">
        <v>26</v>
      </c>
      <c r="K196" s="4" t="s">
        <v>63</v>
      </c>
      <c r="L196" s="4" t="s">
        <v>36</v>
      </c>
      <c r="M196" s="3">
        <v>44395</v>
      </c>
      <c r="N196" s="5">
        <v>449.97</v>
      </c>
    </row>
    <row r="197" spans="1:14" ht="15" thickBot="1">
      <c r="A197" s="2" t="s">
        <v>342</v>
      </c>
      <c r="B197" s="3">
        <v>45676</v>
      </c>
      <c r="C197" s="4" t="s">
        <v>129</v>
      </c>
      <c r="D197" s="4" t="s">
        <v>130</v>
      </c>
      <c r="E197" s="4" t="s">
        <v>31</v>
      </c>
      <c r="F197" s="4" t="s">
        <v>32</v>
      </c>
      <c r="G197" s="4" t="s">
        <v>33</v>
      </c>
      <c r="H197" s="4">
        <v>5</v>
      </c>
      <c r="I197" s="4">
        <v>59.99</v>
      </c>
      <c r="J197" s="4" t="s">
        <v>57</v>
      </c>
      <c r="K197" s="4" t="s">
        <v>63</v>
      </c>
      <c r="L197" s="4" t="s">
        <v>22</v>
      </c>
      <c r="M197" s="3">
        <v>44642</v>
      </c>
      <c r="N197" s="5">
        <v>299.95</v>
      </c>
    </row>
    <row r="198" spans="1:14" ht="15" thickBot="1">
      <c r="A198" s="2" t="s">
        <v>343</v>
      </c>
      <c r="B198" s="3">
        <v>45682</v>
      </c>
      <c r="C198" s="4" t="s">
        <v>68</v>
      </c>
      <c r="D198" s="4" t="s">
        <v>69</v>
      </c>
      <c r="E198" s="4" t="s">
        <v>31</v>
      </c>
      <c r="F198" s="4" t="s">
        <v>32</v>
      </c>
      <c r="G198" s="4" t="s">
        <v>33</v>
      </c>
      <c r="H198" s="4">
        <v>4</v>
      </c>
      <c r="I198" s="4">
        <v>59.99</v>
      </c>
      <c r="J198" s="4" t="s">
        <v>57</v>
      </c>
      <c r="K198" s="4" t="s">
        <v>63</v>
      </c>
      <c r="L198" s="4" t="s">
        <v>36</v>
      </c>
      <c r="M198" s="3">
        <v>44564</v>
      </c>
      <c r="N198" s="5">
        <v>239.96</v>
      </c>
    </row>
    <row r="199" spans="1:14" ht="15" thickBot="1">
      <c r="A199" s="2" t="s">
        <v>344</v>
      </c>
      <c r="B199" s="3">
        <v>45683</v>
      </c>
      <c r="C199" s="4" t="s">
        <v>48</v>
      </c>
      <c r="D199" s="4" t="s">
        <v>49</v>
      </c>
      <c r="E199" s="4" t="s">
        <v>17</v>
      </c>
      <c r="F199" s="4" t="s">
        <v>18</v>
      </c>
      <c r="G199" s="4" t="s">
        <v>19</v>
      </c>
      <c r="H199" s="4">
        <v>4</v>
      </c>
      <c r="I199" s="4">
        <v>249.99</v>
      </c>
      <c r="J199" s="4" t="s">
        <v>57</v>
      </c>
      <c r="K199" s="4" t="s">
        <v>21</v>
      </c>
      <c r="L199" s="4" t="s">
        <v>27</v>
      </c>
      <c r="M199" s="3">
        <v>45217</v>
      </c>
      <c r="N199" s="5">
        <v>999.96</v>
      </c>
    </row>
    <row r="200" spans="1:14" ht="15" thickBot="1">
      <c r="A200" s="2" t="s">
        <v>345</v>
      </c>
      <c r="B200" s="3">
        <v>45686</v>
      </c>
      <c r="C200" s="4" t="s">
        <v>252</v>
      </c>
      <c r="D200" s="4" t="s">
        <v>253</v>
      </c>
      <c r="E200" s="4" t="s">
        <v>61</v>
      </c>
      <c r="F200" s="4" t="s">
        <v>62</v>
      </c>
      <c r="G200" s="4" t="s">
        <v>19</v>
      </c>
      <c r="H200" s="4">
        <v>4</v>
      </c>
      <c r="I200" s="4">
        <v>899.99</v>
      </c>
      <c r="J200" s="4" t="s">
        <v>34</v>
      </c>
      <c r="K200" s="4" t="s">
        <v>21</v>
      </c>
      <c r="L200" s="4" t="s">
        <v>22</v>
      </c>
      <c r="M200" s="3">
        <v>44734</v>
      </c>
      <c r="N200" s="5">
        <v>3599.96</v>
      </c>
    </row>
    <row r="201" spans="1:14" ht="15" thickBot="1">
      <c r="A201" s="2" t="s">
        <v>346</v>
      </c>
      <c r="B201" s="3">
        <v>45686</v>
      </c>
      <c r="C201" s="4" t="s">
        <v>86</v>
      </c>
      <c r="D201" s="4" t="s">
        <v>87</v>
      </c>
      <c r="E201" s="4" t="s">
        <v>105</v>
      </c>
      <c r="F201" s="4" t="s">
        <v>106</v>
      </c>
      <c r="G201" s="4" t="s">
        <v>46</v>
      </c>
      <c r="H201" s="4">
        <v>3</v>
      </c>
      <c r="I201" s="4">
        <v>299.99</v>
      </c>
      <c r="J201" s="4" t="s">
        <v>57</v>
      </c>
      <c r="K201" s="4" t="s">
        <v>50</v>
      </c>
      <c r="L201" s="4" t="s">
        <v>36</v>
      </c>
      <c r="M201" s="3">
        <v>44952</v>
      </c>
      <c r="N201" s="5">
        <v>899.97</v>
      </c>
    </row>
    <row r="202" spans="1:14" ht="15" thickBot="1">
      <c r="A202" s="2" t="s">
        <v>347</v>
      </c>
      <c r="B202" s="3">
        <v>45686</v>
      </c>
      <c r="C202" s="4" t="s">
        <v>293</v>
      </c>
      <c r="D202" s="4" t="s">
        <v>294</v>
      </c>
      <c r="E202" s="4" t="s">
        <v>80</v>
      </c>
      <c r="F202" s="4" t="s">
        <v>81</v>
      </c>
      <c r="G202" s="4" t="s">
        <v>19</v>
      </c>
      <c r="H202" s="4">
        <v>2</v>
      </c>
      <c r="I202" s="4">
        <v>699.99</v>
      </c>
      <c r="J202" s="4" t="s">
        <v>57</v>
      </c>
      <c r="K202" s="4" t="s">
        <v>21</v>
      </c>
      <c r="L202" s="4" t="s">
        <v>27</v>
      </c>
      <c r="M202" s="3">
        <v>44681</v>
      </c>
      <c r="N202" s="5">
        <v>1399.98</v>
      </c>
    </row>
    <row r="203" spans="1:14" ht="15" thickBot="1">
      <c r="A203" s="2" t="s">
        <v>348</v>
      </c>
      <c r="B203" s="3">
        <v>45688</v>
      </c>
      <c r="C203" s="4" t="s">
        <v>65</v>
      </c>
      <c r="D203" s="4" t="s">
        <v>66</v>
      </c>
      <c r="E203" s="4" t="s">
        <v>80</v>
      </c>
      <c r="F203" s="4" t="s">
        <v>81</v>
      </c>
      <c r="G203" s="4" t="s">
        <v>19</v>
      </c>
      <c r="H203" s="4">
        <v>4</v>
      </c>
      <c r="I203" s="4">
        <v>699.99</v>
      </c>
      <c r="J203" s="4" t="s">
        <v>57</v>
      </c>
      <c r="K203" s="4" t="s">
        <v>50</v>
      </c>
      <c r="L203" s="4" t="s">
        <v>27</v>
      </c>
      <c r="M203" s="3">
        <v>44692</v>
      </c>
      <c r="N203" s="5">
        <v>2799.96</v>
      </c>
    </row>
    <row r="204" spans="1:14" ht="15" thickBot="1">
      <c r="A204" s="2" t="s">
        <v>349</v>
      </c>
      <c r="B204" s="3">
        <v>45688</v>
      </c>
      <c r="C204" s="4" t="s">
        <v>123</v>
      </c>
      <c r="D204" s="4" t="s">
        <v>124</v>
      </c>
      <c r="E204" s="4" t="s">
        <v>117</v>
      </c>
      <c r="F204" s="4" t="s">
        <v>118</v>
      </c>
      <c r="G204" s="4" t="s">
        <v>19</v>
      </c>
      <c r="H204" s="4">
        <v>2</v>
      </c>
      <c r="I204" s="4">
        <v>89.99</v>
      </c>
      <c r="J204" s="4" t="s">
        <v>57</v>
      </c>
      <c r="K204" s="4" t="s">
        <v>35</v>
      </c>
      <c r="L204" s="4" t="s">
        <v>22</v>
      </c>
      <c r="M204" s="3">
        <v>44777</v>
      </c>
      <c r="N204" s="5">
        <v>179.98</v>
      </c>
    </row>
    <row r="205" spans="1:14" ht="15" thickBot="1">
      <c r="A205" s="2" t="s">
        <v>350</v>
      </c>
      <c r="B205" s="3">
        <v>45688</v>
      </c>
      <c r="C205" s="4" t="s">
        <v>42</v>
      </c>
      <c r="D205" s="4" t="s">
        <v>43</v>
      </c>
      <c r="E205" s="4" t="s">
        <v>117</v>
      </c>
      <c r="F205" s="4" t="s">
        <v>118</v>
      </c>
      <c r="G205" s="4" t="s">
        <v>19</v>
      </c>
      <c r="H205" s="4">
        <v>3</v>
      </c>
      <c r="I205" s="4">
        <v>89.99</v>
      </c>
      <c r="J205" s="4" t="s">
        <v>57</v>
      </c>
      <c r="K205" s="4" t="s">
        <v>35</v>
      </c>
      <c r="L205" s="4" t="s">
        <v>27</v>
      </c>
      <c r="M205" s="3">
        <v>45307</v>
      </c>
      <c r="N205" s="5">
        <v>269.97000000000003</v>
      </c>
    </row>
    <row r="206" spans="1:14" ht="15" thickBot="1">
      <c r="A206" s="2" t="s">
        <v>351</v>
      </c>
      <c r="B206" s="3">
        <v>45692</v>
      </c>
      <c r="C206" s="4" t="s">
        <v>325</v>
      </c>
      <c r="D206" s="4" t="s">
        <v>326</v>
      </c>
      <c r="E206" s="4" t="s">
        <v>31</v>
      </c>
      <c r="F206" s="4" t="s">
        <v>32</v>
      </c>
      <c r="G206" s="4" t="s">
        <v>33</v>
      </c>
      <c r="H206" s="4">
        <v>1</v>
      </c>
      <c r="I206" s="4">
        <v>59.99</v>
      </c>
      <c r="J206" s="4" t="s">
        <v>57</v>
      </c>
      <c r="K206" s="4" t="s">
        <v>21</v>
      </c>
      <c r="L206" s="4" t="s">
        <v>36</v>
      </c>
      <c r="M206" s="3">
        <v>45045</v>
      </c>
      <c r="N206" s="5">
        <v>59.99</v>
      </c>
    </row>
    <row r="207" spans="1:14" ht="15" thickBot="1">
      <c r="A207" s="2" t="s">
        <v>352</v>
      </c>
      <c r="B207" s="3">
        <v>45695</v>
      </c>
      <c r="C207" s="4" t="s">
        <v>246</v>
      </c>
      <c r="D207" s="4" t="s">
        <v>247</v>
      </c>
      <c r="E207" s="4" t="s">
        <v>44</v>
      </c>
      <c r="F207" s="4" t="s">
        <v>45</v>
      </c>
      <c r="G207" s="4" t="s">
        <v>46</v>
      </c>
      <c r="H207" s="4">
        <v>3</v>
      </c>
      <c r="I207" s="4">
        <v>149.99</v>
      </c>
      <c r="J207" s="4" t="s">
        <v>57</v>
      </c>
      <c r="K207" s="4" t="s">
        <v>40</v>
      </c>
      <c r="L207" s="4" t="s">
        <v>27</v>
      </c>
      <c r="M207" s="3">
        <v>44564</v>
      </c>
      <c r="N207" s="5">
        <v>449.97</v>
      </c>
    </row>
    <row r="208" spans="1:14" ht="15" thickBot="1">
      <c r="A208" s="2" t="s">
        <v>353</v>
      </c>
      <c r="B208" s="3">
        <v>45695</v>
      </c>
      <c r="C208" s="4" t="s">
        <v>93</v>
      </c>
      <c r="D208" s="4" t="s">
        <v>94</v>
      </c>
      <c r="E208" s="4" t="s">
        <v>105</v>
      </c>
      <c r="F208" s="4" t="s">
        <v>106</v>
      </c>
      <c r="G208" s="4" t="s">
        <v>46</v>
      </c>
      <c r="H208" s="4">
        <v>5</v>
      </c>
      <c r="I208" s="4">
        <v>299.99</v>
      </c>
      <c r="J208" s="4" t="s">
        <v>26</v>
      </c>
      <c r="K208" s="4" t="s">
        <v>35</v>
      </c>
      <c r="L208" s="4" t="s">
        <v>22</v>
      </c>
      <c r="M208" s="3">
        <v>44959</v>
      </c>
      <c r="N208" s="5">
        <v>1499.95</v>
      </c>
    </row>
    <row r="209" spans="1:14" ht="15" thickBot="1">
      <c r="A209" s="2" t="s">
        <v>354</v>
      </c>
      <c r="B209" s="3">
        <v>45696</v>
      </c>
      <c r="C209" s="4" t="s">
        <v>150</v>
      </c>
      <c r="D209" s="4" t="s">
        <v>151</v>
      </c>
      <c r="E209" s="4" t="s">
        <v>31</v>
      </c>
      <c r="F209" s="4" t="s">
        <v>32</v>
      </c>
      <c r="G209" s="4" t="s">
        <v>33</v>
      </c>
      <c r="H209" s="4">
        <v>5</v>
      </c>
      <c r="I209" s="4">
        <v>59.99</v>
      </c>
      <c r="J209" s="4" t="s">
        <v>57</v>
      </c>
      <c r="K209" s="4" t="s">
        <v>21</v>
      </c>
      <c r="L209" s="4" t="s">
        <v>36</v>
      </c>
      <c r="M209" s="3">
        <v>45177</v>
      </c>
      <c r="N209" s="5">
        <v>299.95</v>
      </c>
    </row>
    <row r="210" spans="1:14" ht="15" thickBot="1">
      <c r="A210" s="2" t="s">
        <v>355</v>
      </c>
      <c r="B210" s="3">
        <v>45701</v>
      </c>
      <c r="C210" s="4" t="s">
        <v>108</v>
      </c>
      <c r="D210" s="4" t="s">
        <v>109</v>
      </c>
      <c r="E210" s="4" t="s">
        <v>114</v>
      </c>
      <c r="F210" s="4" t="s">
        <v>115</v>
      </c>
      <c r="G210" s="4" t="s">
        <v>33</v>
      </c>
      <c r="H210" s="4">
        <v>3</v>
      </c>
      <c r="I210" s="4">
        <v>79.989999999999995</v>
      </c>
      <c r="J210" s="4" t="s">
        <v>20</v>
      </c>
      <c r="K210" s="4" t="s">
        <v>63</v>
      </c>
      <c r="L210" s="4" t="s">
        <v>27</v>
      </c>
      <c r="M210" s="3">
        <v>44436</v>
      </c>
      <c r="N210" s="5">
        <v>239.97</v>
      </c>
    </row>
    <row r="211" spans="1:14" ht="15" thickBot="1">
      <c r="A211" s="2" t="s">
        <v>356</v>
      </c>
      <c r="B211" s="3">
        <v>45704</v>
      </c>
      <c r="C211" s="4" t="s">
        <v>29</v>
      </c>
      <c r="D211" s="4" t="s">
        <v>30</v>
      </c>
      <c r="E211" s="4" t="s">
        <v>126</v>
      </c>
      <c r="F211" s="4" t="s">
        <v>127</v>
      </c>
      <c r="G211" s="4" t="s">
        <v>46</v>
      </c>
      <c r="H211" s="4">
        <v>3</v>
      </c>
      <c r="I211" s="4">
        <v>199.99</v>
      </c>
      <c r="J211" s="4" t="s">
        <v>20</v>
      </c>
      <c r="K211" s="4" t="s">
        <v>21</v>
      </c>
      <c r="L211" s="4" t="s">
        <v>22</v>
      </c>
      <c r="M211" s="3">
        <v>44735</v>
      </c>
      <c r="N211" s="5">
        <v>599.97</v>
      </c>
    </row>
    <row r="212" spans="1:14" ht="15" thickBot="1">
      <c r="A212" s="2" t="s">
        <v>357</v>
      </c>
      <c r="B212" s="3">
        <v>45704</v>
      </c>
      <c r="C212" s="4" t="s">
        <v>15</v>
      </c>
      <c r="D212" s="4" t="s">
        <v>16</v>
      </c>
      <c r="E212" s="4" t="s">
        <v>117</v>
      </c>
      <c r="F212" s="4" t="s">
        <v>118</v>
      </c>
      <c r="G212" s="4" t="s">
        <v>19</v>
      </c>
      <c r="H212" s="4">
        <v>2</v>
      </c>
      <c r="I212" s="4">
        <v>89.99</v>
      </c>
      <c r="J212" s="4" t="s">
        <v>34</v>
      </c>
      <c r="K212" s="4" t="s">
        <v>21</v>
      </c>
      <c r="L212" s="4" t="s">
        <v>22</v>
      </c>
      <c r="M212" s="3">
        <v>45257</v>
      </c>
      <c r="N212" s="5">
        <v>179.98</v>
      </c>
    </row>
    <row r="213" spans="1:14" ht="15" thickBot="1">
      <c r="A213" s="2" t="s">
        <v>358</v>
      </c>
      <c r="B213" s="3">
        <v>45705</v>
      </c>
      <c r="C213" s="4" t="s">
        <v>259</v>
      </c>
      <c r="D213" s="4" t="s">
        <v>260</v>
      </c>
      <c r="E213" s="4" t="s">
        <v>44</v>
      </c>
      <c r="F213" s="4" t="s">
        <v>45</v>
      </c>
      <c r="G213" s="4" t="s">
        <v>46</v>
      </c>
      <c r="H213" s="4">
        <v>2</v>
      </c>
      <c r="I213" s="4">
        <v>149.99</v>
      </c>
      <c r="J213" s="4" t="s">
        <v>20</v>
      </c>
      <c r="K213" s="4" t="s">
        <v>35</v>
      </c>
      <c r="L213" s="4" t="s">
        <v>27</v>
      </c>
      <c r="M213" s="3">
        <v>44728</v>
      </c>
      <c r="N213" s="5">
        <v>299.98</v>
      </c>
    </row>
    <row r="214" spans="1:14" ht="15" thickBot="1">
      <c r="A214" s="2" t="s">
        <v>359</v>
      </c>
      <c r="B214" s="3">
        <v>45707</v>
      </c>
      <c r="C214" s="4" t="s">
        <v>123</v>
      </c>
      <c r="D214" s="4" t="s">
        <v>124</v>
      </c>
      <c r="E214" s="4" t="s">
        <v>80</v>
      </c>
      <c r="F214" s="4" t="s">
        <v>81</v>
      </c>
      <c r="G214" s="4" t="s">
        <v>19</v>
      </c>
      <c r="H214" s="4">
        <v>5</v>
      </c>
      <c r="I214" s="4">
        <v>699.99</v>
      </c>
      <c r="J214" s="4" t="s">
        <v>34</v>
      </c>
      <c r="K214" s="4" t="s">
        <v>35</v>
      </c>
      <c r="L214" s="4" t="s">
        <v>27</v>
      </c>
      <c r="M214" s="3">
        <v>45352</v>
      </c>
      <c r="N214" s="5">
        <v>3499.95</v>
      </c>
    </row>
    <row r="215" spans="1:14" ht="15" thickBot="1">
      <c r="A215" s="2" t="s">
        <v>360</v>
      </c>
      <c r="B215" s="3">
        <v>45707</v>
      </c>
      <c r="C215" s="4" t="s">
        <v>42</v>
      </c>
      <c r="D215" s="4" t="s">
        <v>43</v>
      </c>
      <c r="E215" s="4" t="s">
        <v>44</v>
      </c>
      <c r="F215" s="4" t="s">
        <v>45</v>
      </c>
      <c r="G215" s="4" t="s">
        <v>46</v>
      </c>
      <c r="H215" s="4">
        <v>3</v>
      </c>
      <c r="I215" s="4">
        <v>149.99</v>
      </c>
      <c r="J215" s="4" t="s">
        <v>34</v>
      </c>
      <c r="K215" s="4" t="s">
        <v>21</v>
      </c>
      <c r="L215" s="4" t="s">
        <v>36</v>
      </c>
      <c r="M215" s="3">
        <v>44633</v>
      </c>
      <c r="N215" s="5">
        <v>449.97</v>
      </c>
    </row>
    <row r="216" spans="1:14" ht="15" thickBot="1">
      <c r="A216" s="2" t="s">
        <v>361</v>
      </c>
      <c r="B216" s="3">
        <v>45708</v>
      </c>
      <c r="C216" s="4" t="s">
        <v>96</v>
      </c>
      <c r="D216" s="4" t="s">
        <v>97</v>
      </c>
      <c r="E216" s="4" t="s">
        <v>61</v>
      </c>
      <c r="F216" s="4" t="s">
        <v>62</v>
      </c>
      <c r="G216" s="4" t="s">
        <v>19</v>
      </c>
      <c r="H216" s="4">
        <v>3</v>
      </c>
      <c r="I216" s="4">
        <v>899.99</v>
      </c>
      <c r="J216" s="4" t="s">
        <v>20</v>
      </c>
      <c r="K216" s="4" t="s">
        <v>63</v>
      </c>
      <c r="L216" s="4" t="s">
        <v>36</v>
      </c>
      <c r="M216" s="3">
        <v>44613</v>
      </c>
      <c r="N216" s="5">
        <v>2699.97</v>
      </c>
    </row>
    <row r="217" spans="1:14" ht="15" thickBot="1">
      <c r="A217" s="2" t="s">
        <v>362</v>
      </c>
      <c r="B217" s="3">
        <v>45708</v>
      </c>
      <c r="C217" s="4" t="s">
        <v>192</v>
      </c>
      <c r="D217" s="4" t="s">
        <v>193</v>
      </c>
      <c r="E217" s="4" t="s">
        <v>126</v>
      </c>
      <c r="F217" s="4" t="s">
        <v>127</v>
      </c>
      <c r="G217" s="4" t="s">
        <v>46</v>
      </c>
      <c r="H217" s="4">
        <v>3</v>
      </c>
      <c r="I217" s="4">
        <v>199.99</v>
      </c>
      <c r="J217" s="4" t="s">
        <v>20</v>
      </c>
      <c r="K217" s="4" t="s">
        <v>50</v>
      </c>
      <c r="L217" s="4" t="s">
        <v>27</v>
      </c>
      <c r="M217" s="3">
        <v>44823</v>
      </c>
      <c r="N217" s="5">
        <v>599.97</v>
      </c>
    </row>
    <row r="218" spans="1:14" ht="15" thickBot="1">
      <c r="A218" s="2" t="s">
        <v>363</v>
      </c>
      <c r="B218" s="3">
        <v>45710</v>
      </c>
      <c r="C218" s="4" t="s">
        <v>55</v>
      </c>
      <c r="D218" s="4" t="s">
        <v>56</v>
      </c>
      <c r="E218" s="4" t="s">
        <v>105</v>
      </c>
      <c r="F218" s="4" t="s">
        <v>106</v>
      </c>
      <c r="G218" s="4" t="s">
        <v>46</v>
      </c>
      <c r="H218" s="4">
        <v>5</v>
      </c>
      <c r="I218" s="4">
        <v>299.99</v>
      </c>
      <c r="J218" s="4" t="s">
        <v>20</v>
      </c>
      <c r="K218" s="4" t="s">
        <v>50</v>
      </c>
      <c r="L218" s="4" t="s">
        <v>36</v>
      </c>
      <c r="M218" s="3">
        <v>45142</v>
      </c>
      <c r="N218" s="5">
        <v>1499.95</v>
      </c>
    </row>
    <row r="219" spans="1:14" ht="15" thickBot="1">
      <c r="A219" s="2" t="s">
        <v>364</v>
      </c>
      <c r="B219" s="3">
        <v>45710</v>
      </c>
      <c r="C219" s="4" t="s">
        <v>150</v>
      </c>
      <c r="D219" s="4" t="s">
        <v>151</v>
      </c>
      <c r="E219" s="4" t="s">
        <v>80</v>
      </c>
      <c r="F219" s="4" t="s">
        <v>81</v>
      </c>
      <c r="G219" s="4" t="s">
        <v>19</v>
      </c>
      <c r="H219" s="4">
        <v>1</v>
      </c>
      <c r="I219" s="4">
        <v>699.99</v>
      </c>
      <c r="J219" s="4" t="s">
        <v>34</v>
      </c>
      <c r="K219" s="4" t="s">
        <v>50</v>
      </c>
      <c r="L219" s="4" t="s">
        <v>22</v>
      </c>
      <c r="M219" s="3">
        <v>44934</v>
      </c>
      <c r="N219" s="5">
        <v>699.99</v>
      </c>
    </row>
    <row r="220" spans="1:14" ht="15" thickBot="1">
      <c r="A220" s="2" t="s">
        <v>365</v>
      </c>
      <c r="B220" s="3">
        <v>45711</v>
      </c>
      <c r="C220" s="4" t="s">
        <v>246</v>
      </c>
      <c r="D220" s="4" t="s">
        <v>247</v>
      </c>
      <c r="E220" s="4" t="s">
        <v>80</v>
      </c>
      <c r="F220" s="4" t="s">
        <v>81</v>
      </c>
      <c r="G220" s="4" t="s">
        <v>19</v>
      </c>
      <c r="H220" s="4">
        <v>1</v>
      </c>
      <c r="I220" s="4">
        <v>699.99</v>
      </c>
      <c r="J220" s="4" t="s">
        <v>20</v>
      </c>
      <c r="K220" s="4" t="s">
        <v>40</v>
      </c>
      <c r="L220" s="4" t="s">
        <v>27</v>
      </c>
      <c r="M220" s="3">
        <v>44583</v>
      </c>
      <c r="N220" s="5">
        <v>699.99</v>
      </c>
    </row>
    <row r="221" spans="1:14" ht="15" thickBot="1">
      <c r="A221" s="2" t="s">
        <v>366</v>
      </c>
      <c r="B221" s="3">
        <v>45711</v>
      </c>
      <c r="C221" s="4" t="s">
        <v>325</v>
      </c>
      <c r="D221" s="4" t="s">
        <v>326</v>
      </c>
      <c r="E221" s="4" t="s">
        <v>44</v>
      </c>
      <c r="F221" s="4" t="s">
        <v>45</v>
      </c>
      <c r="G221" s="4" t="s">
        <v>46</v>
      </c>
      <c r="H221" s="4">
        <v>4</v>
      </c>
      <c r="I221" s="4">
        <v>149.99</v>
      </c>
      <c r="J221" s="4" t="s">
        <v>34</v>
      </c>
      <c r="K221" s="4" t="s">
        <v>40</v>
      </c>
      <c r="L221" s="4" t="s">
        <v>27</v>
      </c>
      <c r="M221" s="3">
        <v>44412</v>
      </c>
      <c r="N221" s="5">
        <v>599.96</v>
      </c>
    </row>
    <row r="222" spans="1:14" ht="15" thickBot="1">
      <c r="A222" s="2" t="s">
        <v>367</v>
      </c>
      <c r="B222" s="3">
        <v>45711</v>
      </c>
      <c r="C222" s="4" t="s">
        <v>211</v>
      </c>
      <c r="D222" s="4" t="s">
        <v>212</v>
      </c>
      <c r="E222" s="4" t="s">
        <v>117</v>
      </c>
      <c r="F222" s="4" t="s">
        <v>118</v>
      </c>
      <c r="G222" s="4" t="s">
        <v>19</v>
      </c>
      <c r="H222" s="4">
        <v>5</v>
      </c>
      <c r="I222" s="4">
        <v>89.99</v>
      </c>
      <c r="J222" s="4" t="s">
        <v>34</v>
      </c>
      <c r="K222" s="4" t="s">
        <v>50</v>
      </c>
      <c r="L222" s="4" t="s">
        <v>27</v>
      </c>
      <c r="M222" s="3">
        <v>45140</v>
      </c>
      <c r="N222" s="5">
        <v>449.95</v>
      </c>
    </row>
    <row r="223" spans="1:14" ht="15" thickBot="1">
      <c r="A223" s="2" t="s">
        <v>368</v>
      </c>
      <c r="B223" s="3">
        <v>45712</v>
      </c>
      <c r="C223" s="4" t="s">
        <v>138</v>
      </c>
      <c r="D223" s="4" t="s">
        <v>139</v>
      </c>
      <c r="E223" s="4" t="s">
        <v>126</v>
      </c>
      <c r="F223" s="4" t="s">
        <v>127</v>
      </c>
      <c r="G223" s="4" t="s">
        <v>46</v>
      </c>
      <c r="H223" s="4">
        <v>2</v>
      </c>
      <c r="I223" s="4">
        <v>199.99</v>
      </c>
      <c r="J223" s="4" t="s">
        <v>20</v>
      </c>
      <c r="K223" s="4" t="s">
        <v>21</v>
      </c>
      <c r="L223" s="4" t="s">
        <v>27</v>
      </c>
      <c r="M223" s="3">
        <v>44573</v>
      </c>
      <c r="N223" s="5">
        <v>399.98</v>
      </c>
    </row>
    <row r="224" spans="1:14" ht="15" thickBot="1">
      <c r="A224" s="2" t="s">
        <v>369</v>
      </c>
      <c r="B224" s="3">
        <v>45715</v>
      </c>
      <c r="C224" s="4" t="s">
        <v>259</v>
      </c>
      <c r="D224" s="4" t="s">
        <v>260</v>
      </c>
      <c r="E224" s="4" t="s">
        <v>31</v>
      </c>
      <c r="F224" s="4" t="s">
        <v>32</v>
      </c>
      <c r="G224" s="4" t="s">
        <v>33</v>
      </c>
      <c r="H224" s="4">
        <v>4</v>
      </c>
      <c r="I224" s="4">
        <v>59.99</v>
      </c>
      <c r="J224" s="4" t="s">
        <v>20</v>
      </c>
      <c r="K224" s="4" t="s">
        <v>50</v>
      </c>
      <c r="L224" s="4" t="s">
        <v>36</v>
      </c>
      <c r="M224" s="3">
        <v>45070</v>
      </c>
      <c r="N224" s="5">
        <v>239.96</v>
      </c>
    </row>
    <row r="225" spans="1:14" ht="15" thickBot="1">
      <c r="A225" s="2" t="s">
        <v>370</v>
      </c>
      <c r="B225" s="3">
        <v>45715</v>
      </c>
      <c r="C225" s="4" t="s">
        <v>93</v>
      </c>
      <c r="D225" s="4" t="s">
        <v>94</v>
      </c>
      <c r="E225" s="4" t="s">
        <v>105</v>
      </c>
      <c r="F225" s="4" t="s">
        <v>106</v>
      </c>
      <c r="G225" s="4" t="s">
        <v>46</v>
      </c>
      <c r="H225" s="4">
        <v>2</v>
      </c>
      <c r="I225" s="4">
        <v>299.99</v>
      </c>
      <c r="J225" s="4" t="s">
        <v>34</v>
      </c>
      <c r="K225" s="4" t="s">
        <v>35</v>
      </c>
      <c r="L225" s="4" t="s">
        <v>22</v>
      </c>
      <c r="M225" s="3">
        <v>44576</v>
      </c>
      <c r="N225" s="5">
        <v>599.98</v>
      </c>
    </row>
    <row r="226" spans="1:14" ht="15" thickBot="1">
      <c r="A226" s="2" t="s">
        <v>371</v>
      </c>
      <c r="B226" s="3">
        <v>45718</v>
      </c>
      <c r="C226" s="4" t="s">
        <v>55</v>
      </c>
      <c r="D226" s="4" t="s">
        <v>56</v>
      </c>
      <c r="E226" s="4" t="s">
        <v>44</v>
      </c>
      <c r="F226" s="4" t="s">
        <v>45</v>
      </c>
      <c r="G226" s="4" t="s">
        <v>46</v>
      </c>
      <c r="H226" s="4">
        <v>2</v>
      </c>
      <c r="I226" s="4">
        <v>149.99</v>
      </c>
      <c r="J226" s="4" t="s">
        <v>20</v>
      </c>
      <c r="K226" s="4" t="s">
        <v>21</v>
      </c>
      <c r="L226" s="4" t="s">
        <v>22</v>
      </c>
      <c r="M226" s="3">
        <v>45068</v>
      </c>
      <c r="N226" s="5">
        <v>299.98</v>
      </c>
    </row>
    <row r="227" spans="1:14" ht="15" thickBot="1">
      <c r="A227" s="2" t="s">
        <v>372</v>
      </c>
      <c r="B227" s="3">
        <v>45720</v>
      </c>
      <c r="C227" s="4" t="s">
        <v>226</v>
      </c>
      <c r="D227" s="4" t="s">
        <v>227</v>
      </c>
      <c r="E227" s="4" t="s">
        <v>80</v>
      </c>
      <c r="F227" s="4" t="s">
        <v>81</v>
      </c>
      <c r="G227" s="4" t="s">
        <v>19</v>
      </c>
      <c r="H227" s="4">
        <v>5</v>
      </c>
      <c r="I227" s="4">
        <v>699.99</v>
      </c>
      <c r="J227" s="4" t="s">
        <v>57</v>
      </c>
      <c r="K227" s="4" t="s">
        <v>63</v>
      </c>
      <c r="L227" s="4" t="s">
        <v>27</v>
      </c>
      <c r="M227" s="3">
        <v>45161</v>
      </c>
      <c r="N227" s="5">
        <v>3499.95</v>
      </c>
    </row>
    <row r="228" spans="1:14" ht="15" thickBot="1">
      <c r="A228" s="2" t="s">
        <v>373</v>
      </c>
      <c r="B228" s="3">
        <v>45721</v>
      </c>
      <c r="C228" s="4" t="s">
        <v>75</v>
      </c>
      <c r="D228" s="4" t="s">
        <v>76</v>
      </c>
      <c r="E228" s="4" t="s">
        <v>31</v>
      </c>
      <c r="F228" s="4" t="s">
        <v>32</v>
      </c>
      <c r="G228" s="4" t="s">
        <v>33</v>
      </c>
      <c r="H228" s="4">
        <v>5</v>
      </c>
      <c r="I228" s="4">
        <v>59.99</v>
      </c>
      <c r="J228" s="4" t="s">
        <v>20</v>
      </c>
      <c r="K228" s="4" t="s">
        <v>50</v>
      </c>
      <c r="L228" s="4" t="s">
        <v>27</v>
      </c>
      <c r="M228" s="3">
        <v>45291</v>
      </c>
      <c r="N228" s="5">
        <v>299.95</v>
      </c>
    </row>
    <row r="229" spans="1:14" ht="15" thickBot="1">
      <c r="A229" s="2" t="s">
        <v>374</v>
      </c>
      <c r="B229" s="3">
        <v>45723</v>
      </c>
      <c r="C229" s="4" t="s">
        <v>15</v>
      </c>
      <c r="D229" s="4" t="s">
        <v>16</v>
      </c>
      <c r="E229" s="4" t="s">
        <v>117</v>
      </c>
      <c r="F229" s="4" t="s">
        <v>118</v>
      </c>
      <c r="G229" s="4" t="s">
        <v>19</v>
      </c>
      <c r="H229" s="4">
        <v>2</v>
      </c>
      <c r="I229" s="4">
        <v>89.99</v>
      </c>
      <c r="J229" s="4" t="s">
        <v>26</v>
      </c>
      <c r="K229" s="4" t="s">
        <v>50</v>
      </c>
      <c r="L229" s="4" t="s">
        <v>27</v>
      </c>
      <c r="M229" s="3">
        <v>45295</v>
      </c>
      <c r="N229" s="5">
        <v>179.98</v>
      </c>
    </row>
    <row r="230" spans="1:14" ht="15" thickBot="1">
      <c r="A230" s="2" t="s">
        <v>375</v>
      </c>
      <c r="B230" s="3">
        <v>45723</v>
      </c>
      <c r="C230" s="4" t="s">
        <v>120</v>
      </c>
      <c r="D230" s="4" t="s">
        <v>121</v>
      </c>
      <c r="E230" s="4" t="s">
        <v>17</v>
      </c>
      <c r="F230" s="4" t="s">
        <v>18</v>
      </c>
      <c r="G230" s="4" t="s">
        <v>19</v>
      </c>
      <c r="H230" s="4">
        <v>5</v>
      </c>
      <c r="I230" s="4">
        <v>249.99</v>
      </c>
      <c r="J230" s="4" t="s">
        <v>20</v>
      </c>
      <c r="K230" s="4" t="s">
        <v>63</v>
      </c>
      <c r="L230" s="4" t="s">
        <v>36</v>
      </c>
      <c r="M230" s="3">
        <v>44540</v>
      </c>
      <c r="N230" s="5">
        <v>1249.95</v>
      </c>
    </row>
    <row r="231" spans="1:14" ht="15" thickBot="1">
      <c r="A231" s="2" t="s">
        <v>376</v>
      </c>
      <c r="B231" s="3">
        <v>45724</v>
      </c>
      <c r="C231" s="4" t="s">
        <v>226</v>
      </c>
      <c r="D231" s="4" t="s">
        <v>227</v>
      </c>
      <c r="E231" s="4" t="s">
        <v>44</v>
      </c>
      <c r="F231" s="4" t="s">
        <v>45</v>
      </c>
      <c r="G231" s="4" t="s">
        <v>46</v>
      </c>
      <c r="H231" s="4">
        <v>2</v>
      </c>
      <c r="I231" s="4">
        <v>149.99</v>
      </c>
      <c r="J231" s="4" t="s">
        <v>34</v>
      </c>
      <c r="K231" s="4" t="s">
        <v>21</v>
      </c>
      <c r="L231" s="4" t="s">
        <v>27</v>
      </c>
      <c r="M231" s="3">
        <v>44632</v>
      </c>
      <c r="N231" s="5">
        <v>299.98</v>
      </c>
    </row>
    <row r="232" spans="1:14" ht="15" thickBot="1">
      <c r="A232" s="2" t="s">
        <v>377</v>
      </c>
      <c r="B232" s="3">
        <v>45724</v>
      </c>
      <c r="C232" s="4" t="s">
        <v>144</v>
      </c>
      <c r="D232" s="4" t="s">
        <v>145</v>
      </c>
      <c r="E232" s="4" t="s">
        <v>61</v>
      </c>
      <c r="F232" s="4" t="s">
        <v>62</v>
      </c>
      <c r="G232" s="4" t="s">
        <v>19</v>
      </c>
      <c r="H232" s="4">
        <v>5</v>
      </c>
      <c r="I232" s="4">
        <v>899.99</v>
      </c>
      <c r="J232" s="4" t="s">
        <v>34</v>
      </c>
      <c r="K232" s="4" t="s">
        <v>63</v>
      </c>
      <c r="L232" s="4" t="s">
        <v>27</v>
      </c>
      <c r="M232" s="3">
        <v>45389</v>
      </c>
      <c r="N232" s="5">
        <v>4499.95</v>
      </c>
    </row>
    <row r="233" spans="1:14" ht="15" thickBot="1">
      <c r="A233" s="2" t="s">
        <v>378</v>
      </c>
      <c r="B233" s="3">
        <v>45724</v>
      </c>
      <c r="C233" s="4" t="s">
        <v>55</v>
      </c>
      <c r="D233" s="4" t="s">
        <v>56</v>
      </c>
      <c r="E233" s="4" t="s">
        <v>44</v>
      </c>
      <c r="F233" s="4" t="s">
        <v>45</v>
      </c>
      <c r="G233" s="4" t="s">
        <v>46</v>
      </c>
      <c r="H233" s="4">
        <v>4</v>
      </c>
      <c r="I233" s="4">
        <v>149.99</v>
      </c>
      <c r="J233" s="4" t="s">
        <v>20</v>
      </c>
      <c r="K233" s="4" t="s">
        <v>21</v>
      </c>
      <c r="L233" s="4" t="s">
        <v>36</v>
      </c>
      <c r="M233" s="3">
        <v>45263</v>
      </c>
      <c r="N233" s="5">
        <v>599.96</v>
      </c>
    </row>
    <row r="234" spans="1:14" ht="15" thickBot="1">
      <c r="A234" s="2" t="s">
        <v>379</v>
      </c>
      <c r="B234" s="3">
        <v>45726</v>
      </c>
      <c r="C234" s="4" t="s">
        <v>144</v>
      </c>
      <c r="D234" s="4" t="s">
        <v>145</v>
      </c>
      <c r="E234" s="4" t="s">
        <v>17</v>
      </c>
      <c r="F234" s="4" t="s">
        <v>18</v>
      </c>
      <c r="G234" s="4" t="s">
        <v>19</v>
      </c>
      <c r="H234" s="4">
        <v>1</v>
      </c>
      <c r="I234" s="4">
        <v>249.99</v>
      </c>
      <c r="J234" s="4" t="s">
        <v>20</v>
      </c>
      <c r="K234" s="4" t="s">
        <v>40</v>
      </c>
      <c r="L234" s="4" t="s">
        <v>36</v>
      </c>
      <c r="M234" s="3">
        <v>45117</v>
      </c>
      <c r="N234" s="5">
        <v>249.99</v>
      </c>
    </row>
    <row r="235" spans="1:14" ht="15" thickBot="1">
      <c r="A235" s="2" t="s">
        <v>380</v>
      </c>
      <c r="B235" s="3">
        <v>45734</v>
      </c>
      <c r="C235" s="4" t="s">
        <v>192</v>
      </c>
      <c r="D235" s="4" t="s">
        <v>193</v>
      </c>
      <c r="E235" s="4" t="s">
        <v>31</v>
      </c>
      <c r="F235" s="4" t="s">
        <v>32</v>
      </c>
      <c r="G235" s="4" t="s">
        <v>33</v>
      </c>
      <c r="H235" s="4">
        <v>2</v>
      </c>
      <c r="I235" s="4">
        <v>59.99</v>
      </c>
      <c r="J235" s="4" t="s">
        <v>26</v>
      </c>
      <c r="K235" s="4" t="s">
        <v>50</v>
      </c>
      <c r="L235" s="4" t="s">
        <v>22</v>
      </c>
      <c r="M235" s="3">
        <v>45193</v>
      </c>
      <c r="N235" s="5">
        <v>119.98</v>
      </c>
    </row>
    <row r="236" spans="1:14" ht="15" thickBot="1">
      <c r="A236" s="2" t="s">
        <v>381</v>
      </c>
      <c r="B236" s="3">
        <v>45737</v>
      </c>
      <c r="C236" s="4" t="s">
        <v>132</v>
      </c>
      <c r="D236" s="4" t="s">
        <v>133</v>
      </c>
      <c r="E236" s="4" t="s">
        <v>44</v>
      </c>
      <c r="F236" s="4" t="s">
        <v>45</v>
      </c>
      <c r="G236" s="4" t="s">
        <v>46</v>
      </c>
      <c r="H236" s="4">
        <v>2</v>
      </c>
      <c r="I236" s="4">
        <v>149.99</v>
      </c>
      <c r="J236" s="4" t="s">
        <v>20</v>
      </c>
      <c r="K236" s="4" t="s">
        <v>50</v>
      </c>
      <c r="L236" s="4" t="s">
        <v>27</v>
      </c>
      <c r="M236" s="3">
        <v>45233</v>
      </c>
      <c r="N236" s="5">
        <v>299.98</v>
      </c>
    </row>
    <row r="237" spans="1:14" ht="15" thickBot="1">
      <c r="A237" s="2" t="s">
        <v>382</v>
      </c>
      <c r="B237" s="3">
        <v>45737</v>
      </c>
      <c r="C237" s="4" t="s">
        <v>150</v>
      </c>
      <c r="D237" s="4" t="s">
        <v>151</v>
      </c>
      <c r="E237" s="4" t="s">
        <v>61</v>
      </c>
      <c r="F237" s="4" t="s">
        <v>62</v>
      </c>
      <c r="G237" s="4" t="s">
        <v>19</v>
      </c>
      <c r="H237" s="4">
        <v>3</v>
      </c>
      <c r="I237" s="4">
        <v>899.99</v>
      </c>
      <c r="J237" s="4" t="s">
        <v>57</v>
      </c>
      <c r="K237" s="4" t="s">
        <v>40</v>
      </c>
      <c r="L237" s="4" t="s">
        <v>27</v>
      </c>
      <c r="M237" s="3">
        <v>44876</v>
      </c>
      <c r="N237" s="5">
        <v>2699.97</v>
      </c>
    </row>
    <row r="238" spans="1:14" ht="15" thickBot="1">
      <c r="A238" s="2" t="s">
        <v>383</v>
      </c>
      <c r="B238" s="3">
        <v>45737</v>
      </c>
      <c r="C238" s="4" t="s">
        <v>48</v>
      </c>
      <c r="D238" s="4" t="s">
        <v>49</v>
      </c>
      <c r="E238" s="4" t="s">
        <v>61</v>
      </c>
      <c r="F238" s="4" t="s">
        <v>62</v>
      </c>
      <c r="G238" s="4" t="s">
        <v>19</v>
      </c>
      <c r="H238" s="4">
        <v>3</v>
      </c>
      <c r="I238" s="4">
        <v>899.99</v>
      </c>
      <c r="J238" s="4" t="s">
        <v>34</v>
      </c>
      <c r="K238" s="4" t="s">
        <v>40</v>
      </c>
      <c r="L238" s="4" t="s">
        <v>22</v>
      </c>
      <c r="M238" s="3">
        <v>44975</v>
      </c>
      <c r="N238" s="5">
        <v>2699.97</v>
      </c>
    </row>
    <row r="239" spans="1:14" ht="15" thickBot="1">
      <c r="A239" s="2" t="s">
        <v>384</v>
      </c>
      <c r="B239" s="3">
        <v>45739</v>
      </c>
      <c r="C239" s="4" t="s">
        <v>15</v>
      </c>
      <c r="D239" s="4" t="s">
        <v>16</v>
      </c>
      <c r="E239" s="4" t="s">
        <v>105</v>
      </c>
      <c r="F239" s="4" t="s">
        <v>106</v>
      </c>
      <c r="G239" s="4" t="s">
        <v>46</v>
      </c>
      <c r="H239" s="4">
        <v>3</v>
      </c>
      <c r="I239" s="4">
        <v>299.99</v>
      </c>
      <c r="J239" s="4" t="s">
        <v>26</v>
      </c>
      <c r="K239" s="4" t="s">
        <v>50</v>
      </c>
      <c r="L239" s="4" t="s">
        <v>27</v>
      </c>
      <c r="M239" s="3">
        <v>45234</v>
      </c>
      <c r="N239" s="5">
        <v>899.97</v>
      </c>
    </row>
    <row r="240" spans="1:14" ht="15" thickBot="1">
      <c r="A240" s="2" t="s">
        <v>385</v>
      </c>
      <c r="B240" s="3">
        <v>45740</v>
      </c>
      <c r="C240" s="4" t="s">
        <v>386</v>
      </c>
      <c r="D240" s="4" t="s">
        <v>387</v>
      </c>
      <c r="E240" s="4" t="s">
        <v>44</v>
      </c>
      <c r="F240" s="4" t="s">
        <v>45</v>
      </c>
      <c r="G240" s="4" t="s">
        <v>46</v>
      </c>
      <c r="H240" s="4">
        <v>4</v>
      </c>
      <c r="I240" s="4">
        <v>149.99</v>
      </c>
      <c r="J240" s="4" t="s">
        <v>34</v>
      </c>
      <c r="K240" s="4" t="s">
        <v>50</v>
      </c>
      <c r="L240" s="4" t="s">
        <v>36</v>
      </c>
      <c r="M240" s="3">
        <v>44560</v>
      </c>
      <c r="N240" s="5">
        <v>599.96</v>
      </c>
    </row>
    <row r="241" spans="1:14" ht="15" thickBot="1">
      <c r="A241" s="2" t="s">
        <v>388</v>
      </c>
      <c r="B241" s="3">
        <v>45743</v>
      </c>
      <c r="C241" s="4" t="s">
        <v>102</v>
      </c>
      <c r="D241" s="4" t="s">
        <v>103</v>
      </c>
      <c r="E241" s="4" t="s">
        <v>114</v>
      </c>
      <c r="F241" s="4" t="s">
        <v>115</v>
      </c>
      <c r="G241" s="4" t="s">
        <v>33</v>
      </c>
      <c r="H241" s="4">
        <v>4</v>
      </c>
      <c r="I241" s="4">
        <v>79.989999999999995</v>
      </c>
      <c r="J241" s="4" t="s">
        <v>26</v>
      </c>
      <c r="K241" s="4" t="s">
        <v>21</v>
      </c>
      <c r="L241" s="4" t="s">
        <v>22</v>
      </c>
      <c r="M241" s="3">
        <v>45288</v>
      </c>
      <c r="N241" s="5">
        <v>319.95999999999998</v>
      </c>
    </row>
    <row r="242" spans="1:14" ht="15" thickBot="1">
      <c r="A242" s="2" t="s">
        <v>389</v>
      </c>
      <c r="B242" s="3">
        <v>45745</v>
      </c>
      <c r="C242" s="4" t="s">
        <v>185</v>
      </c>
      <c r="D242" s="4" t="s">
        <v>186</v>
      </c>
      <c r="E242" s="4" t="s">
        <v>117</v>
      </c>
      <c r="F242" s="4" t="s">
        <v>118</v>
      </c>
      <c r="G242" s="4" t="s">
        <v>19</v>
      </c>
      <c r="H242" s="4">
        <v>5</v>
      </c>
      <c r="I242" s="4">
        <v>89.99</v>
      </c>
      <c r="J242" s="4" t="s">
        <v>34</v>
      </c>
      <c r="K242" s="4" t="s">
        <v>35</v>
      </c>
      <c r="L242" s="4" t="s">
        <v>22</v>
      </c>
      <c r="M242" s="3">
        <v>44704</v>
      </c>
      <c r="N242" s="5">
        <v>449.95</v>
      </c>
    </row>
    <row r="243" spans="1:14" ht="15" thickBot="1">
      <c r="A243" s="2" t="s">
        <v>390</v>
      </c>
      <c r="B243" s="3">
        <v>45746</v>
      </c>
      <c r="C243" s="4" t="s">
        <v>93</v>
      </c>
      <c r="D243" s="4" t="s">
        <v>94</v>
      </c>
      <c r="E243" s="4" t="s">
        <v>44</v>
      </c>
      <c r="F243" s="4" t="s">
        <v>45</v>
      </c>
      <c r="G243" s="4" t="s">
        <v>46</v>
      </c>
      <c r="H243" s="4">
        <v>3</v>
      </c>
      <c r="I243" s="4">
        <v>149.99</v>
      </c>
      <c r="J243" s="4" t="s">
        <v>34</v>
      </c>
      <c r="K243" s="4" t="s">
        <v>21</v>
      </c>
      <c r="L243" s="4" t="s">
        <v>36</v>
      </c>
      <c r="M243" s="3">
        <v>45171</v>
      </c>
      <c r="N243" s="5">
        <v>449.97</v>
      </c>
    </row>
    <row r="244" spans="1:14" ht="15" thickBot="1">
      <c r="A244" s="2" t="s">
        <v>391</v>
      </c>
      <c r="B244" s="3">
        <v>45746</v>
      </c>
      <c r="C244" s="4" t="s">
        <v>65</v>
      </c>
      <c r="D244" s="4" t="s">
        <v>66</v>
      </c>
      <c r="E244" s="4" t="s">
        <v>117</v>
      </c>
      <c r="F244" s="4" t="s">
        <v>118</v>
      </c>
      <c r="G244" s="4" t="s">
        <v>19</v>
      </c>
      <c r="H244" s="4">
        <v>2</v>
      </c>
      <c r="I244" s="4">
        <v>89.99</v>
      </c>
      <c r="J244" s="4" t="s">
        <v>57</v>
      </c>
      <c r="K244" s="4" t="s">
        <v>50</v>
      </c>
      <c r="L244" s="4" t="s">
        <v>27</v>
      </c>
      <c r="M244" s="3">
        <v>44522</v>
      </c>
      <c r="N244" s="5">
        <v>179.98</v>
      </c>
    </row>
    <row r="245" spans="1:14" ht="15" thickBot="1">
      <c r="A245" s="2" t="s">
        <v>392</v>
      </c>
      <c r="B245" s="3">
        <v>45748</v>
      </c>
      <c r="C245" s="4" t="s">
        <v>102</v>
      </c>
      <c r="D245" s="4" t="s">
        <v>103</v>
      </c>
      <c r="E245" s="4" t="s">
        <v>80</v>
      </c>
      <c r="F245" s="4" t="s">
        <v>81</v>
      </c>
      <c r="G245" s="4" t="s">
        <v>19</v>
      </c>
      <c r="H245" s="4">
        <v>2</v>
      </c>
      <c r="I245" s="4">
        <v>699.99</v>
      </c>
      <c r="J245" s="4" t="s">
        <v>34</v>
      </c>
      <c r="K245" s="4" t="s">
        <v>40</v>
      </c>
      <c r="L245" s="4" t="s">
        <v>36</v>
      </c>
      <c r="M245" s="3">
        <v>44618</v>
      </c>
      <c r="N245" s="5">
        <v>1399.98</v>
      </c>
    </row>
    <row r="246" spans="1:14" ht="15" thickBot="1">
      <c r="A246" s="2" t="s">
        <v>393</v>
      </c>
      <c r="B246" s="3">
        <v>45749</v>
      </c>
      <c r="C246" s="4" t="s">
        <v>123</v>
      </c>
      <c r="D246" s="4" t="s">
        <v>124</v>
      </c>
      <c r="E246" s="4" t="s">
        <v>61</v>
      </c>
      <c r="F246" s="4" t="s">
        <v>62</v>
      </c>
      <c r="G246" s="4" t="s">
        <v>19</v>
      </c>
      <c r="H246" s="4">
        <v>3</v>
      </c>
      <c r="I246" s="4">
        <v>899.99</v>
      </c>
      <c r="J246" s="4" t="s">
        <v>20</v>
      </c>
      <c r="K246" s="4" t="s">
        <v>21</v>
      </c>
      <c r="L246" s="4" t="s">
        <v>36</v>
      </c>
      <c r="M246" s="3">
        <v>44953</v>
      </c>
      <c r="N246" s="5">
        <v>2699.97</v>
      </c>
    </row>
    <row r="247" spans="1:14" ht="15" thickBot="1">
      <c r="A247" s="2" t="s">
        <v>394</v>
      </c>
      <c r="B247" s="3">
        <v>45755</v>
      </c>
      <c r="C247" s="4" t="s">
        <v>93</v>
      </c>
      <c r="D247" s="4" t="s">
        <v>94</v>
      </c>
      <c r="E247" s="4" t="s">
        <v>114</v>
      </c>
      <c r="F247" s="4" t="s">
        <v>115</v>
      </c>
      <c r="G247" s="4" t="s">
        <v>33</v>
      </c>
      <c r="H247" s="4">
        <v>3</v>
      </c>
      <c r="I247" s="4">
        <v>79.989999999999995</v>
      </c>
      <c r="J247" s="4" t="s">
        <v>26</v>
      </c>
      <c r="K247" s="4" t="s">
        <v>40</v>
      </c>
      <c r="L247" s="4" t="s">
        <v>22</v>
      </c>
      <c r="M247" s="3">
        <v>44511</v>
      </c>
      <c r="N247" s="5">
        <v>239.97</v>
      </c>
    </row>
    <row r="248" spans="1:14" ht="15" thickBot="1">
      <c r="A248" s="2" t="s">
        <v>395</v>
      </c>
      <c r="B248" s="3">
        <v>45756</v>
      </c>
      <c r="C248" s="4" t="s">
        <v>59</v>
      </c>
      <c r="D248" s="4" t="s">
        <v>60</v>
      </c>
      <c r="E248" s="4" t="s">
        <v>117</v>
      </c>
      <c r="F248" s="4" t="s">
        <v>118</v>
      </c>
      <c r="G248" s="4" t="s">
        <v>19</v>
      </c>
      <c r="H248" s="4">
        <v>1</v>
      </c>
      <c r="I248" s="4">
        <v>89.99</v>
      </c>
      <c r="J248" s="4" t="s">
        <v>57</v>
      </c>
      <c r="K248" s="4" t="s">
        <v>63</v>
      </c>
      <c r="L248" s="4" t="s">
        <v>22</v>
      </c>
      <c r="M248" s="3">
        <v>45346</v>
      </c>
      <c r="N248" s="5">
        <v>89.99</v>
      </c>
    </row>
    <row r="249" spans="1:14" ht="15" thickBot="1">
      <c r="A249" s="2" t="s">
        <v>396</v>
      </c>
      <c r="B249" s="3">
        <v>45758</v>
      </c>
      <c r="C249" s="4" t="s">
        <v>293</v>
      </c>
      <c r="D249" s="4" t="s">
        <v>294</v>
      </c>
      <c r="E249" s="4" t="s">
        <v>80</v>
      </c>
      <c r="F249" s="4" t="s">
        <v>81</v>
      </c>
      <c r="G249" s="4" t="s">
        <v>19</v>
      </c>
      <c r="H249" s="4">
        <v>3</v>
      </c>
      <c r="I249" s="4">
        <v>699.99</v>
      </c>
      <c r="J249" s="4" t="s">
        <v>34</v>
      </c>
      <c r="K249" s="4" t="s">
        <v>40</v>
      </c>
      <c r="L249" s="4" t="s">
        <v>22</v>
      </c>
      <c r="M249" s="3">
        <v>44909</v>
      </c>
      <c r="N249" s="5">
        <v>2099.9699999999998</v>
      </c>
    </row>
    <row r="250" spans="1:14" ht="15" thickBot="1">
      <c r="A250" s="2" t="s">
        <v>397</v>
      </c>
      <c r="B250" s="3">
        <v>45758</v>
      </c>
      <c r="C250" s="4" t="s">
        <v>226</v>
      </c>
      <c r="D250" s="4" t="s">
        <v>227</v>
      </c>
      <c r="E250" s="4" t="s">
        <v>117</v>
      </c>
      <c r="F250" s="4" t="s">
        <v>118</v>
      </c>
      <c r="G250" s="4" t="s">
        <v>19</v>
      </c>
      <c r="H250" s="4">
        <v>2</v>
      </c>
      <c r="I250" s="4">
        <v>89.99</v>
      </c>
      <c r="J250" s="4" t="s">
        <v>57</v>
      </c>
      <c r="K250" s="4" t="s">
        <v>63</v>
      </c>
      <c r="L250" s="4" t="s">
        <v>22</v>
      </c>
      <c r="M250" s="3">
        <v>45088</v>
      </c>
      <c r="N250" s="5">
        <v>179.98</v>
      </c>
    </row>
    <row r="251" spans="1:14">
      <c r="A251" s="6" t="s">
        <v>398</v>
      </c>
      <c r="B251" s="7">
        <v>45758</v>
      </c>
      <c r="C251" s="8" t="s">
        <v>138</v>
      </c>
      <c r="D251" s="8" t="s">
        <v>139</v>
      </c>
      <c r="E251" s="8" t="s">
        <v>117</v>
      </c>
      <c r="F251" s="8" t="s">
        <v>118</v>
      </c>
      <c r="G251" s="8" t="s">
        <v>19</v>
      </c>
      <c r="H251" s="8">
        <v>3</v>
      </c>
      <c r="I251" s="8">
        <v>89.99</v>
      </c>
      <c r="J251" s="8" t="s">
        <v>57</v>
      </c>
      <c r="K251" s="8" t="s">
        <v>40</v>
      </c>
      <c r="L251" s="8" t="s">
        <v>27</v>
      </c>
      <c r="M251" s="7">
        <v>44878</v>
      </c>
      <c r="N251" s="9">
        <v>269.97000000000003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D1FB-8F2E-48E9-87E2-531C807BF5BC}">
  <dimension ref="A3:B6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4.88671875" bestFit="1" customWidth="1"/>
  </cols>
  <sheetData>
    <row r="3" spans="1:2">
      <c r="A3" s="39" t="s">
        <v>479</v>
      </c>
      <c r="B3" t="s">
        <v>483</v>
      </c>
    </row>
    <row r="4" spans="1:2">
      <c r="A4" s="40" t="s">
        <v>481</v>
      </c>
      <c r="B4" s="41">
        <v>527</v>
      </c>
    </row>
    <row r="5" spans="1:2">
      <c r="A5" s="40" t="s">
        <v>482</v>
      </c>
      <c r="B5" s="41">
        <v>226</v>
      </c>
    </row>
    <row r="6" spans="1:2">
      <c r="A6" s="40" t="s">
        <v>480</v>
      </c>
      <c r="B6" s="41">
        <v>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9CD0-DAEB-4CCA-9098-A47D86D235D3}">
  <dimension ref="A1:S251"/>
  <sheetViews>
    <sheetView topLeftCell="A2" workbookViewId="0">
      <selection sqref="A1:S251"/>
    </sheetView>
  </sheetViews>
  <sheetFormatPr defaultRowHeight="14.4"/>
  <cols>
    <col min="1" max="1" width="14.33203125" customWidth="1"/>
    <col min="2" max="2" width="12" customWidth="1"/>
    <col min="3" max="3" width="12.88671875" customWidth="1"/>
    <col min="4" max="4" width="17" customWidth="1"/>
    <col min="5" max="5" width="11.6640625" customWidth="1"/>
    <col min="6" max="6" width="15.5546875" customWidth="1"/>
    <col min="7" max="7" width="10.44140625" customWidth="1"/>
    <col min="8" max="8" width="10.33203125" customWidth="1"/>
    <col min="9" max="9" width="11.5546875" customWidth="1"/>
    <col min="10" max="10" width="18.21875" customWidth="1"/>
    <col min="12" max="12" width="17.77734375" customWidth="1"/>
    <col min="13" max="13" width="16.44140625" customWidth="1"/>
    <col min="14" max="14" width="15.77734375" customWidth="1"/>
    <col min="15" max="15" width="14.44140625" customWidth="1"/>
    <col min="16" max="16" width="13.109375" customWidth="1"/>
    <col min="17" max="17" width="6.6640625" customWidth="1"/>
    <col min="18" max="18" width="20.33203125" customWidth="1"/>
    <col min="19" max="19" width="15" customWidth="1"/>
  </cols>
  <sheetData>
    <row r="1" spans="1:19" ht="15" thickBo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42" t="s">
        <v>10</v>
      </c>
      <c r="L1" s="10" t="s">
        <v>11</v>
      </c>
      <c r="M1" s="10" t="s">
        <v>12</v>
      </c>
      <c r="N1" s="10" t="s">
        <v>13</v>
      </c>
      <c r="O1" s="11" t="s">
        <v>399</v>
      </c>
      <c r="P1" s="11" t="s">
        <v>400</v>
      </c>
      <c r="Q1" s="11" t="s">
        <v>401</v>
      </c>
      <c r="R1" s="11" t="s">
        <v>402</v>
      </c>
      <c r="S1" s="11" t="s">
        <v>403</v>
      </c>
    </row>
    <row r="2" spans="1:19">
      <c r="A2" s="12" t="s">
        <v>14</v>
      </c>
      <c r="B2" s="13">
        <v>45393</v>
      </c>
      <c r="C2" s="12" t="s">
        <v>15</v>
      </c>
      <c r="D2" s="12" t="s">
        <v>16</v>
      </c>
      <c r="E2" s="12" t="s">
        <v>17</v>
      </c>
      <c r="F2" s="12" t="s">
        <v>18</v>
      </c>
      <c r="G2" s="12" t="s">
        <v>19</v>
      </c>
      <c r="H2" s="12">
        <v>3</v>
      </c>
      <c r="I2" s="14">
        <v>249.99</v>
      </c>
      <c r="J2" s="12" t="s">
        <v>20</v>
      </c>
      <c r="K2" s="12" t="s">
        <v>21</v>
      </c>
      <c r="L2" s="12" t="s">
        <v>22</v>
      </c>
      <c r="M2" s="13">
        <v>44425</v>
      </c>
      <c r="N2" s="1">
        <v>749.97</v>
      </c>
      <c r="O2" s="12" t="str">
        <f>TEXT(B2,"mmm-yyyy")</f>
        <v>Apr-2024</v>
      </c>
      <c r="P2" s="13">
        <f>EOMONTH(B2,0)</f>
        <v>45412</v>
      </c>
      <c r="Q2" s="12">
        <f ca="1">DATEDIF(M2,TODAY(),"y")</f>
        <v>5</v>
      </c>
      <c r="R2" s="15">
        <f ca="1">NOW()</f>
        <v>46282.345924652778</v>
      </c>
      <c r="S2" s="12" t="str">
        <f>UPPER(LEFT(D2,1)&amp;LEFT(RIGHT(D2,LEN(D2)-FIND(" ",D2)),1))</f>
        <v>PB</v>
      </c>
    </row>
    <row r="3" spans="1:19">
      <c r="A3" s="12" t="s">
        <v>23</v>
      </c>
      <c r="B3" s="13">
        <v>45396</v>
      </c>
      <c r="C3" s="12" t="s">
        <v>24</v>
      </c>
      <c r="D3" s="12" t="s">
        <v>25</v>
      </c>
      <c r="E3" s="12" t="s">
        <v>17</v>
      </c>
      <c r="F3" s="12" t="s">
        <v>18</v>
      </c>
      <c r="G3" s="12" t="s">
        <v>19</v>
      </c>
      <c r="H3" s="12">
        <v>3</v>
      </c>
      <c r="I3" s="14">
        <v>249.99</v>
      </c>
      <c r="J3" s="12" t="s">
        <v>26</v>
      </c>
      <c r="K3" s="12" t="s">
        <v>21</v>
      </c>
      <c r="L3" s="12" t="s">
        <v>27</v>
      </c>
      <c r="M3" s="13">
        <v>44575</v>
      </c>
      <c r="N3" s="1">
        <v>749.97</v>
      </c>
      <c r="O3" s="12" t="str">
        <f>TEXT(B3,"mmm-yyyy")</f>
        <v>Apr-2024</v>
      </c>
      <c r="P3" s="13">
        <f>EOMONTH(B3,0)</f>
        <v>45412</v>
      </c>
      <c r="Q3" s="12">
        <f ca="1">DATEDIF(M3,TODAY(),"y")</f>
        <v>4</v>
      </c>
      <c r="R3" s="15">
        <f ca="1">NOW()</f>
        <v>46282.345924652778</v>
      </c>
      <c r="S3" s="12" t="str">
        <f>UPPER(LEFT(D3,1)&amp;LEFT(RIGHT(D3,LEN(D3)-FIND(" ",D3)),1))</f>
        <v>JJ</v>
      </c>
    </row>
    <row r="4" spans="1:19">
      <c r="A4" s="12" t="s">
        <v>28</v>
      </c>
      <c r="B4" s="13">
        <v>45399</v>
      </c>
      <c r="C4" s="12" t="s">
        <v>29</v>
      </c>
      <c r="D4" s="12" t="s">
        <v>30</v>
      </c>
      <c r="E4" s="12" t="s">
        <v>31</v>
      </c>
      <c r="F4" s="12" t="s">
        <v>32</v>
      </c>
      <c r="G4" s="12" t="s">
        <v>33</v>
      </c>
      <c r="H4" s="12">
        <v>3</v>
      </c>
      <c r="I4" s="14">
        <v>59.99</v>
      </c>
      <c r="J4" s="12" t="s">
        <v>34</v>
      </c>
      <c r="K4" s="12" t="s">
        <v>35</v>
      </c>
      <c r="L4" s="12" t="s">
        <v>36</v>
      </c>
      <c r="M4" s="13">
        <v>45262</v>
      </c>
      <c r="N4" s="1">
        <v>179.97</v>
      </c>
      <c r="O4" s="12" t="str">
        <f>TEXT(B4,"mmm-yyyy")</f>
        <v>Apr-2024</v>
      </c>
      <c r="P4" s="13">
        <f>EOMONTH(B4,0)</f>
        <v>45412</v>
      </c>
      <c r="Q4" s="12">
        <f ca="1">DATEDIF(M4,TODAY(),"y")</f>
        <v>2</v>
      </c>
      <c r="R4" s="15">
        <f ca="1">NOW()</f>
        <v>46282.345924652778</v>
      </c>
      <c r="S4" s="12" t="str">
        <f>UPPER(LEFT(D4,1)&amp;LEFT(RIGHT(D4,LEN(D4)-FIND(" ",D4)),1))</f>
        <v>KS</v>
      </c>
    </row>
    <row r="5" spans="1:19">
      <c r="A5" s="12" t="s">
        <v>37</v>
      </c>
      <c r="B5" s="13">
        <v>45400</v>
      </c>
      <c r="C5" s="12" t="s">
        <v>38</v>
      </c>
      <c r="D5" s="12" t="s">
        <v>39</v>
      </c>
      <c r="E5" s="12" t="s">
        <v>31</v>
      </c>
      <c r="F5" s="12" t="s">
        <v>32</v>
      </c>
      <c r="G5" s="12" t="s">
        <v>33</v>
      </c>
      <c r="H5" s="12">
        <v>3</v>
      </c>
      <c r="I5" s="14">
        <v>59.99</v>
      </c>
      <c r="J5" s="12" t="s">
        <v>20</v>
      </c>
      <c r="K5" s="12" t="s">
        <v>40</v>
      </c>
      <c r="L5" s="12" t="s">
        <v>27</v>
      </c>
      <c r="M5" s="13">
        <v>45114</v>
      </c>
      <c r="N5" s="1">
        <v>179.97</v>
      </c>
      <c r="O5" s="12" t="str">
        <f>TEXT(B5,"mmm-yyyy")</f>
        <v>Apr-2024</v>
      </c>
      <c r="P5" s="13">
        <f>EOMONTH(B5,0)</f>
        <v>45412</v>
      </c>
      <c r="Q5" s="12">
        <f ca="1">DATEDIF(M5,TODAY(),"y")</f>
        <v>3</v>
      </c>
      <c r="R5" s="15">
        <f ca="1">NOW()</f>
        <v>46282.345924652778</v>
      </c>
      <c r="S5" s="12" t="str">
        <f>UPPER(LEFT(D5,1)&amp;LEFT(RIGHT(D5,LEN(D5)-FIND(" ",D5)),1))</f>
        <v>KB</v>
      </c>
    </row>
    <row r="6" spans="1:19">
      <c r="A6" s="12" t="s">
        <v>41</v>
      </c>
      <c r="B6" s="13">
        <v>45400</v>
      </c>
      <c r="C6" s="12" t="s">
        <v>42</v>
      </c>
      <c r="D6" s="12" t="s">
        <v>43</v>
      </c>
      <c r="E6" s="12" t="s">
        <v>44</v>
      </c>
      <c r="F6" s="12" t="s">
        <v>45</v>
      </c>
      <c r="G6" s="12" t="s">
        <v>46</v>
      </c>
      <c r="H6" s="12">
        <v>5</v>
      </c>
      <c r="I6" s="14">
        <v>149.99</v>
      </c>
      <c r="J6" s="12" t="s">
        <v>26</v>
      </c>
      <c r="K6" s="12" t="s">
        <v>40</v>
      </c>
      <c r="L6" s="12" t="s">
        <v>27</v>
      </c>
      <c r="M6" s="13">
        <v>45295</v>
      </c>
      <c r="N6" s="1">
        <v>749.95</v>
      </c>
      <c r="O6" s="12" t="str">
        <f>TEXT(B6,"mmm-yyyy")</f>
        <v>Apr-2024</v>
      </c>
      <c r="P6" s="13">
        <f>EOMONTH(B6,0)</f>
        <v>45412</v>
      </c>
      <c r="Q6" s="12">
        <f ca="1">DATEDIF(M6,TODAY(),"y")</f>
        <v>2</v>
      </c>
      <c r="R6" s="15">
        <f ca="1">NOW()</f>
        <v>46282.345924652778</v>
      </c>
      <c r="S6" s="12" t="str">
        <f>UPPER(LEFT(D6,1)&amp;LEFT(RIGHT(D6,LEN(D6)-FIND(" ",D6)),1))</f>
        <v>MB</v>
      </c>
    </row>
    <row r="7" spans="1:19">
      <c r="A7" s="12" t="s">
        <v>47</v>
      </c>
      <c r="B7" s="13">
        <v>45403</v>
      </c>
      <c r="C7" s="12" t="s">
        <v>48</v>
      </c>
      <c r="D7" s="12" t="s">
        <v>49</v>
      </c>
      <c r="E7" s="12" t="s">
        <v>31</v>
      </c>
      <c r="F7" s="12" t="s">
        <v>32</v>
      </c>
      <c r="G7" s="12" t="s">
        <v>33</v>
      </c>
      <c r="H7" s="12">
        <v>2</v>
      </c>
      <c r="I7" s="14">
        <v>59.99</v>
      </c>
      <c r="J7" s="12" t="s">
        <v>20</v>
      </c>
      <c r="K7" s="12" t="s">
        <v>50</v>
      </c>
      <c r="L7" s="12" t="s">
        <v>36</v>
      </c>
      <c r="M7" s="13">
        <v>44746</v>
      </c>
      <c r="N7" s="1">
        <v>119.98</v>
      </c>
      <c r="O7" s="12" t="str">
        <f>TEXT(B7,"mmm-yyyy")</f>
        <v>Apr-2024</v>
      </c>
      <c r="P7" s="13">
        <f>EOMONTH(B7,0)</f>
        <v>45412</v>
      </c>
      <c r="Q7" s="12">
        <f ca="1">DATEDIF(M7,TODAY(),"y")</f>
        <v>4</v>
      </c>
      <c r="R7" s="15">
        <f ca="1">NOW()</f>
        <v>46282.345924652778</v>
      </c>
      <c r="S7" s="12" t="str">
        <f>UPPER(LEFT(D7,1)&amp;LEFT(RIGHT(D7,LEN(D7)-FIND(" ",D7)),1))</f>
        <v>DN</v>
      </c>
    </row>
    <row r="8" spans="1:19">
      <c r="A8" s="12" t="s">
        <v>51</v>
      </c>
      <c r="B8" s="13">
        <v>45403</v>
      </c>
      <c r="C8" s="12" t="s">
        <v>48</v>
      </c>
      <c r="D8" s="12" t="s">
        <v>49</v>
      </c>
      <c r="E8" s="12" t="s">
        <v>52</v>
      </c>
      <c r="F8" s="12" t="s">
        <v>53</v>
      </c>
      <c r="G8" s="12" t="s">
        <v>19</v>
      </c>
      <c r="H8" s="12">
        <v>5</v>
      </c>
      <c r="I8" s="14">
        <v>149.99</v>
      </c>
      <c r="J8" s="12" t="s">
        <v>26</v>
      </c>
      <c r="K8" s="12" t="s">
        <v>21</v>
      </c>
      <c r="L8" s="12" t="s">
        <v>36</v>
      </c>
      <c r="M8" s="13">
        <v>44418</v>
      </c>
      <c r="N8" s="1">
        <v>749.95</v>
      </c>
      <c r="O8" s="12" t="str">
        <f>TEXT(B8,"mmm-yyyy")</f>
        <v>Apr-2024</v>
      </c>
      <c r="P8" s="13">
        <f>EOMONTH(B8,0)</f>
        <v>45412</v>
      </c>
      <c r="Q8" s="12">
        <f ca="1">DATEDIF(M8,TODAY(),"y")</f>
        <v>5</v>
      </c>
      <c r="R8" s="15">
        <f ca="1">NOW()</f>
        <v>46282.345924652778</v>
      </c>
      <c r="S8" s="12" t="str">
        <f>UPPER(LEFT(D8,1)&amp;LEFT(RIGHT(D8,LEN(D8)-FIND(" ",D8)),1))</f>
        <v>DN</v>
      </c>
    </row>
    <row r="9" spans="1:19">
      <c r="A9" s="12" t="s">
        <v>54</v>
      </c>
      <c r="B9" s="13">
        <v>45403</v>
      </c>
      <c r="C9" s="12" t="s">
        <v>55</v>
      </c>
      <c r="D9" s="12" t="s">
        <v>56</v>
      </c>
      <c r="E9" s="12" t="s">
        <v>31</v>
      </c>
      <c r="F9" s="12" t="s">
        <v>32</v>
      </c>
      <c r="G9" s="12" t="s">
        <v>33</v>
      </c>
      <c r="H9" s="12">
        <v>3</v>
      </c>
      <c r="I9" s="14">
        <v>59.99</v>
      </c>
      <c r="J9" s="12" t="s">
        <v>57</v>
      </c>
      <c r="K9" s="12" t="s">
        <v>35</v>
      </c>
      <c r="L9" s="12" t="s">
        <v>22</v>
      </c>
      <c r="M9" s="13">
        <v>45007</v>
      </c>
      <c r="N9" s="1">
        <v>179.97</v>
      </c>
      <c r="O9" s="12" t="str">
        <f>TEXT(B9,"mmm-yyyy")</f>
        <v>Apr-2024</v>
      </c>
      <c r="P9" s="13">
        <f>EOMONTH(B9,0)</f>
        <v>45412</v>
      </c>
      <c r="Q9" s="12">
        <f ca="1">DATEDIF(M9,TODAY(),"y")</f>
        <v>3</v>
      </c>
      <c r="R9" s="15">
        <f ca="1">NOW()</f>
        <v>46282.345924652778</v>
      </c>
      <c r="S9" s="12" t="str">
        <f>UPPER(LEFT(D9,1)&amp;LEFT(RIGHT(D9,LEN(D9)-FIND(" ",D9)),1))</f>
        <v>CA</v>
      </c>
    </row>
    <row r="10" spans="1:19">
      <c r="A10" s="12" t="s">
        <v>58</v>
      </c>
      <c r="B10" s="13">
        <v>45405</v>
      </c>
      <c r="C10" s="12" t="s">
        <v>59</v>
      </c>
      <c r="D10" s="12" t="s">
        <v>60</v>
      </c>
      <c r="E10" s="12" t="s">
        <v>61</v>
      </c>
      <c r="F10" s="12" t="s">
        <v>62</v>
      </c>
      <c r="G10" s="12" t="s">
        <v>19</v>
      </c>
      <c r="H10" s="12">
        <v>3</v>
      </c>
      <c r="I10" s="14">
        <v>899.99</v>
      </c>
      <c r="J10" s="12" t="s">
        <v>34</v>
      </c>
      <c r="K10" s="12" t="s">
        <v>63</v>
      </c>
      <c r="L10" s="12" t="s">
        <v>36</v>
      </c>
      <c r="M10" s="13">
        <v>45299</v>
      </c>
      <c r="N10" s="1">
        <v>2699.97</v>
      </c>
      <c r="O10" s="12" t="str">
        <f>TEXT(B10,"mmm-yyyy")</f>
        <v>Apr-2024</v>
      </c>
      <c r="P10" s="13">
        <f>EOMONTH(B10,0)</f>
        <v>45412</v>
      </c>
      <c r="Q10" s="12">
        <f ca="1">DATEDIF(M10,TODAY(),"y")</f>
        <v>2</v>
      </c>
      <c r="R10" s="15">
        <f ca="1">NOW()</f>
        <v>46282.345924652778</v>
      </c>
      <c r="S10" s="12" t="str">
        <f>UPPER(LEFT(D10,1)&amp;LEFT(RIGHT(D10,LEN(D10)-FIND(" ",D10)),1))</f>
        <v>RT</v>
      </c>
    </row>
    <row r="11" spans="1:19">
      <c r="A11" s="12" t="s">
        <v>64</v>
      </c>
      <c r="B11" s="13">
        <v>45408</v>
      </c>
      <c r="C11" s="12" t="s">
        <v>65</v>
      </c>
      <c r="D11" s="12" t="s">
        <v>66</v>
      </c>
      <c r="E11" s="12" t="s">
        <v>31</v>
      </c>
      <c r="F11" s="12" t="s">
        <v>32</v>
      </c>
      <c r="G11" s="12" t="s">
        <v>33</v>
      </c>
      <c r="H11" s="12">
        <v>3</v>
      </c>
      <c r="I11" s="14">
        <v>59.99</v>
      </c>
      <c r="J11" s="12" t="s">
        <v>20</v>
      </c>
      <c r="K11" s="12" t="s">
        <v>50</v>
      </c>
      <c r="L11" s="12" t="s">
        <v>27</v>
      </c>
      <c r="M11" s="13">
        <v>45207</v>
      </c>
      <c r="N11" s="1">
        <v>179.97</v>
      </c>
      <c r="O11" s="12" t="str">
        <f>TEXT(B11,"mmm-yyyy")</f>
        <v>Apr-2024</v>
      </c>
      <c r="P11" s="13">
        <f>EOMONTH(B11,0)</f>
        <v>45412</v>
      </c>
      <c r="Q11" s="12">
        <f ca="1">DATEDIF(M11,TODAY(),"y")</f>
        <v>2</v>
      </c>
      <c r="R11" s="15">
        <f ca="1">NOW()</f>
        <v>46282.345924652778</v>
      </c>
      <c r="S11" s="12" t="str">
        <f>UPPER(LEFT(D11,1)&amp;LEFT(RIGHT(D11,LEN(D11)-FIND(" ",D11)),1))</f>
        <v>KH</v>
      </c>
    </row>
    <row r="12" spans="1:19">
      <c r="A12" s="12" t="s">
        <v>67</v>
      </c>
      <c r="B12" s="13">
        <v>45408</v>
      </c>
      <c r="C12" s="12" t="s">
        <v>68</v>
      </c>
      <c r="D12" s="12" t="s">
        <v>69</v>
      </c>
      <c r="E12" s="12" t="s">
        <v>44</v>
      </c>
      <c r="F12" s="12" t="s">
        <v>45</v>
      </c>
      <c r="G12" s="12" t="s">
        <v>46</v>
      </c>
      <c r="H12" s="12">
        <v>1</v>
      </c>
      <c r="I12" s="14">
        <v>149.99</v>
      </c>
      <c r="J12" s="12" t="s">
        <v>26</v>
      </c>
      <c r="K12" s="12" t="s">
        <v>50</v>
      </c>
      <c r="L12" s="12" t="s">
        <v>36</v>
      </c>
      <c r="M12" s="13">
        <v>45103</v>
      </c>
      <c r="N12" s="1">
        <v>149.99</v>
      </c>
      <c r="O12" s="12" t="str">
        <f>TEXT(B12,"mmm-yyyy")</f>
        <v>Apr-2024</v>
      </c>
      <c r="P12" s="13">
        <f>EOMONTH(B12,0)</f>
        <v>45412</v>
      </c>
      <c r="Q12" s="12">
        <f ca="1">DATEDIF(M12,TODAY(),"y")</f>
        <v>3</v>
      </c>
      <c r="R12" s="15">
        <f ca="1">NOW()</f>
        <v>46282.345924652778</v>
      </c>
      <c r="S12" s="12" t="str">
        <f>UPPER(LEFT(D12,1)&amp;LEFT(RIGHT(D12,LEN(D12)-FIND(" ",D12)),1))</f>
        <v>SG</v>
      </c>
    </row>
    <row r="13" spans="1:19">
      <c r="A13" s="12" t="s">
        <v>70</v>
      </c>
      <c r="B13" s="13">
        <v>45408</v>
      </c>
      <c r="C13" s="12" t="s">
        <v>38</v>
      </c>
      <c r="D13" s="12" t="s">
        <v>39</v>
      </c>
      <c r="E13" s="12" t="s">
        <v>44</v>
      </c>
      <c r="F13" s="12" t="s">
        <v>45</v>
      </c>
      <c r="G13" s="12" t="s">
        <v>46</v>
      </c>
      <c r="H13" s="12">
        <v>5</v>
      </c>
      <c r="I13" s="14">
        <v>149.99</v>
      </c>
      <c r="J13" s="12" t="s">
        <v>57</v>
      </c>
      <c r="K13" s="12" t="s">
        <v>40</v>
      </c>
      <c r="L13" s="12" t="s">
        <v>22</v>
      </c>
      <c r="M13" s="13">
        <v>44830</v>
      </c>
      <c r="N13" s="1">
        <v>749.95</v>
      </c>
      <c r="O13" s="12" t="str">
        <f>TEXT(B13,"mmm-yyyy")</f>
        <v>Apr-2024</v>
      </c>
      <c r="P13" s="13">
        <f>EOMONTH(B13,0)</f>
        <v>45412</v>
      </c>
      <c r="Q13" s="12">
        <f ca="1">DATEDIF(M13,TODAY(),"y")</f>
        <v>3</v>
      </c>
      <c r="R13" s="15">
        <f ca="1">NOW()</f>
        <v>46282.345924652778</v>
      </c>
      <c r="S13" s="12" t="str">
        <f>UPPER(LEFT(D13,1)&amp;LEFT(RIGHT(D13,LEN(D13)-FIND(" ",D13)),1))</f>
        <v>KB</v>
      </c>
    </row>
    <row r="14" spans="1:19">
      <c r="A14" s="12" t="s">
        <v>71</v>
      </c>
      <c r="B14" s="13">
        <v>45408</v>
      </c>
      <c r="C14" s="12" t="s">
        <v>72</v>
      </c>
      <c r="D14" s="12" t="s">
        <v>73</v>
      </c>
      <c r="E14" s="12" t="s">
        <v>44</v>
      </c>
      <c r="F14" s="12" t="s">
        <v>45</v>
      </c>
      <c r="G14" s="12" t="s">
        <v>46</v>
      </c>
      <c r="H14" s="12">
        <v>3</v>
      </c>
      <c r="I14" s="14">
        <v>149.99</v>
      </c>
      <c r="J14" s="12" t="s">
        <v>20</v>
      </c>
      <c r="K14" s="12" t="s">
        <v>40</v>
      </c>
      <c r="L14" s="12" t="s">
        <v>27</v>
      </c>
      <c r="M14" s="13">
        <v>44806</v>
      </c>
      <c r="N14" s="1">
        <v>449.97</v>
      </c>
      <c r="O14" s="12" t="str">
        <f>TEXT(B14,"mmm-yyyy")</f>
        <v>Apr-2024</v>
      </c>
      <c r="P14" s="13">
        <f>EOMONTH(B14,0)</f>
        <v>45412</v>
      </c>
      <c r="Q14" s="12">
        <f ca="1">DATEDIF(M14,TODAY(),"y")</f>
        <v>4</v>
      </c>
      <c r="R14" s="15">
        <f ca="1">NOW()</f>
        <v>46282.345924652778</v>
      </c>
      <c r="S14" s="12" t="str">
        <f>UPPER(LEFT(D14,1)&amp;LEFT(RIGHT(D14,LEN(D14)-FIND(" ",D14)),1))</f>
        <v>PR</v>
      </c>
    </row>
    <row r="15" spans="1:19">
      <c r="A15" s="12" t="s">
        <v>74</v>
      </c>
      <c r="B15" s="13">
        <v>45409</v>
      </c>
      <c r="C15" s="12" t="s">
        <v>75</v>
      </c>
      <c r="D15" s="12" t="s">
        <v>76</v>
      </c>
      <c r="E15" s="12" t="s">
        <v>31</v>
      </c>
      <c r="F15" s="12" t="s">
        <v>32</v>
      </c>
      <c r="G15" s="12" t="s">
        <v>33</v>
      </c>
      <c r="H15" s="12">
        <v>3</v>
      </c>
      <c r="I15" s="14">
        <v>59.99</v>
      </c>
      <c r="J15" s="12" t="s">
        <v>26</v>
      </c>
      <c r="K15" s="12" t="s">
        <v>40</v>
      </c>
      <c r="L15" s="12" t="s">
        <v>36</v>
      </c>
      <c r="M15" s="13">
        <v>45351</v>
      </c>
      <c r="N15" s="1">
        <v>179.97</v>
      </c>
      <c r="O15" s="12" t="str">
        <f>TEXT(B15,"mmm-yyyy")</f>
        <v>Apr-2024</v>
      </c>
      <c r="P15" s="13">
        <f>EOMONTH(B15,0)</f>
        <v>45412</v>
      </c>
      <c r="Q15" s="12">
        <f ca="1">DATEDIF(M15,TODAY(),"y")</f>
        <v>2</v>
      </c>
      <c r="R15" s="15">
        <f ca="1">NOW()</f>
        <v>46282.345924652778</v>
      </c>
      <c r="S15" s="12" t="str">
        <f>UPPER(LEFT(D15,1)&amp;LEFT(RIGHT(D15,LEN(D15)-FIND(" ",D15)),1))</f>
        <v>DG</v>
      </c>
    </row>
    <row r="16" spans="1:19">
      <c r="A16" s="12" t="s">
        <v>77</v>
      </c>
      <c r="B16" s="13">
        <v>45409</v>
      </c>
      <c r="C16" s="12" t="s">
        <v>78</v>
      </c>
      <c r="D16" s="12" t="s">
        <v>79</v>
      </c>
      <c r="E16" s="12" t="s">
        <v>80</v>
      </c>
      <c r="F16" s="12" t="s">
        <v>81</v>
      </c>
      <c r="G16" s="12" t="s">
        <v>19</v>
      </c>
      <c r="H16" s="12">
        <v>3</v>
      </c>
      <c r="I16" s="14">
        <v>699.99</v>
      </c>
      <c r="J16" s="12" t="s">
        <v>26</v>
      </c>
      <c r="K16" s="12" t="s">
        <v>50</v>
      </c>
      <c r="L16" s="12" t="s">
        <v>22</v>
      </c>
      <c r="M16" s="13">
        <v>44577</v>
      </c>
      <c r="N16" s="1">
        <v>2099.9699999999998</v>
      </c>
      <c r="O16" s="12" t="str">
        <f>TEXT(B16,"mmm-yyyy")</f>
        <v>Apr-2024</v>
      </c>
      <c r="P16" s="13">
        <f>EOMONTH(B16,0)</f>
        <v>45412</v>
      </c>
      <c r="Q16" s="12">
        <f ca="1">DATEDIF(M16,TODAY(),"y")</f>
        <v>4</v>
      </c>
      <c r="R16" s="15">
        <f ca="1">NOW()</f>
        <v>46282.345924652778</v>
      </c>
      <c r="S16" s="12" t="str">
        <f>UPPER(LEFT(D16,1)&amp;LEFT(RIGHT(D16,LEN(D16)-FIND(" ",D16)),1))</f>
        <v>MR</v>
      </c>
    </row>
    <row r="17" spans="1:19">
      <c r="A17" s="12" t="s">
        <v>82</v>
      </c>
      <c r="B17" s="13">
        <v>45409</v>
      </c>
      <c r="C17" s="12" t="s">
        <v>83</v>
      </c>
      <c r="D17" s="12" t="s">
        <v>84</v>
      </c>
      <c r="E17" s="12" t="s">
        <v>61</v>
      </c>
      <c r="F17" s="12" t="s">
        <v>62</v>
      </c>
      <c r="G17" s="12" t="s">
        <v>19</v>
      </c>
      <c r="H17" s="12">
        <v>1</v>
      </c>
      <c r="I17" s="14">
        <v>899.99</v>
      </c>
      <c r="J17" s="12" t="s">
        <v>57</v>
      </c>
      <c r="K17" s="12" t="s">
        <v>40</v>
      </c>
      <c r="L17" s="12" t="s">
        <v>36</v>
      </c>
      <c r="M17" s="13">
        <v>44920</v>
      </c>
      <c r="N17" s="1">
        <v>899.99</v>
      </c>
      <c r="O17" s="12" t="str">
        <f>TEXT(B17,"mmm-yyyy")</f>
        <v>Apr-2024</v>
      </c>
      <c r="P17" s="13">
        <f>EOMONTH(B17,0)</f>
        <v>45412</v>
      </c>
      <c r="Q17" s="12">
        <f ca="1">DATEDIF(M17,TODAY(),"y")</f>
        <v>3</v>
      </c>
      <c r="R17" s="15">
        <f ca="1">NOW()</f>
        <v>46282.345924652778</v>
      </c>
      <c r="S17" s="12" t="str">
        <f>UPPER(LEFT(D17,1)&amp;LEFT(RIGHT(D17,LEN(D17)-FIND(" ",D17)),1))</f>
        <v>GA</v>
      </c>
    </row>
    <row r="18" spans="1:19">
      <c r="A18" s="12" t="s">
        <v>85</v>
      </c>
      <c r="B18" s="13">
        <v>45410</v>
      </c>
      <c r="C18" s="12" t="s">
        <v>86</v>
      </c>
      <c r="D18" s="12" t="s">
        <v>87</v>
      </c>
      <c r="E18" s="12" t="s">
        <v>44</v>
      </c>
      <c r="F18" s="12" t="s">
        <v>45</v>
      </c>
      <c r="G18" s="12" t="s">
        <v>46</v>
      </c>
      <c r="H18" s="12">
        <v>4</v>
      </c>
      <c r="I18" s="14">
        <v>149.99</v>
      </c>
      <c r="J18" s="12" t="s">
        <v>57</v>
      </c>
      <c r="K18" s="12" t="s">
        <v>40</v>
      </c>
      <c r="L18" s="12" t="s">
        <v>27</v>
      </c>
      <c r="M18" s="13">
        <v>45374</v>
      </c>
      <c r="N18" s="1">
        <v>599.96</v>
      </c>
      <c r="O18" s="12" t="str">
        <f>TEXT(B18,"mmm-yyyy")</f>
        <v>Apr-2024</v>
      </c>
      <c r="P18" s="13">
        <f>EOMONTH(B18,0)</f>
        <v>45412</v>
      </c>
      <c r="Q18" s="12">
        <f ca="1">DATEDIF(M18,TODAY(),"y")</f>
        <v>2</v>
      </c>
      <c r="R18" s="15">
        <f ca="1">NOW()</f>
        <v>46282.345924652778</v>
      </c>
      <c r="S18" s="12" t="str">
        <f>UPPER(LEFT(D18,1)&amp;LEFT(RIGHT(D18,LEN(D18)-FIND(" ",D18)),1))</f>
        <v>MC</v>
      </c>
    </row>
    <row r="19" spans="1:19">
      <c r="A19" s="12" t="s">
        <v>88</v>
      </c>
      <c r="B19" s="13">
        <v>45410</v>
      </c>
      <c r="C19" s="12" t="s">
        <v>89</v>
      </c>
      <c r="D19" s="12" t="s">
        <v>90</v>
      </c>
      <c r="E19" s="12" t="s">
        <v>80</v>
      </c>
      <c r="F19" s="12" t="s">
        <v>81</v>
      </c>
      <c r="G19" s="12" t="s">
        <v>19</v>
      </c>
      <c r="H19" s="12">
        <v>2</v>
      </c>
      <c r="I19" s="14">
        <v>699.99</v>
      </c>
      <c r="J19" s="12" t="s">
        <v>20</v>
      </c>
      <c r="K19" s="12" t="s">
        <v>40</v>
      </c>
      <c r="L19" s="12" t="s">
        <v>22</v>
      </c>
      <c r="M19" s="13">
        <v>44781</v>
      </c>
      <c r="N19" s="1">
        <v>1399.98</v>
      </c>
      <c r="O19" s="12" t="str">
        <f>TEXT(B19,"mmm-yyyy")</f>
        <v>Apr-2024</v>
      </c>
      <c r="P19" s="13">
        <f>EOMONTH(B19,0)</f>
        <v>45412</v>
      </c>
      <c r="Q19" s="12">
        <f ca="1">DATEDIF(M19,TODAY(),"y")</f>
        <v>4</v>
      </c>
      <c r="R19" s="15">
        <f ca="1">NOW()</f>
        <v>46282.345924652778</v>
      </c>
      <c r="S19" s="12" t="str">
        <f>UPPER(LEFT(D19,1)&amp;LEFT(RIGHT(D19,LEN(D19)-FIND(" ",D19)),1))</f>
        <v>MG</v>
      </c>
    </row>
    <row r="20" spans="1:19">
      <c r="A20" s="12" t="s">
        <v>91</v>
      </c>
      <c r="B20" s="13">
        <v>45410</v>
      </c>
      <c r="C20" s="12" t="s">
        <v>86</v>
      </c>
      <c r="D20" s="12" t="s">
        <v>87</v>
      </c>
      <c r="E20" s="12" t="s">
        <v>61</v>
      </c>
      <c r="F20" s="12" t="s">
        <v>62</v>
      </c>
      <c r="G20" s="12" t="s">
        <v>19</v>
      </c>
      <c r="H20" s="12">
        <v>4</v>
      </c>
      <c r="I20" s="14">
        <v>899.99</v>
      </c>
      <c r="J20" s="12" t="s">
        <v>26</v>
      </c>
      <c r="K20" s="12" t="s">
        <v>50</v>
      </c>
      <c r="L20" s="12" t="s">
        <v>36</v>
      </c>
      <c r="M20" s="13">
        <v>45327</v>
      </c>
      <c r="N20" s="1">
        <v>3599.96</v>
      </c>
      <c r="O20" s="12" t="str">
        <f>TEXT(B20,"mmm-yyyy")</f>
        <v>Apr-2024</v>
      </c>
      <c r="P20" s="13">
        <f>EOMONTH(B20,0)</f>
        <v>45412</v>
      </c>
      <c r="Q20" s="12">
        <f ca="1">DATEDIF(M20,TODAY(),"y")</f>
        <v>2</v>
      </c>
      <c r="R20" s="15">
        <f ca="1">NOW()</f>
        <v>46282.345924652778</v>
      </c>
      <c r="S20" s="12" t="str">
        <f>UPPER(LEFT(D20,1)&amp;LEFT(RIGHT(D20,LEN(D20)-FIND(" ",D20)),1))</f>
        <v>MC</v>
      </c>
    </row>
    <row r="21" spans="1:19">
      <c r="A21" s="12" t="s">
        <v>92</v>
      </c>
      <c r="B21" s="13">
        <v>45410</v>
      </c>
      <c r="C21" s="12" t="s">
        <v>93</v>
      </c>
      <c r="D21" s="12" t="s">
        <v>94</v>
      </c>
      <c r="E21" s="12" t="s">
        <v>17</v>
      </c>
      <c r="F21" s="12" t="s">
        <v>18</v>
      </c>
      <c r="G21" s="12" t="s">
        <v>19</v>
      </c>
      <c r="H21" s="12">
        <v>3</v>
      </c>
      <c r="I21" s="14">
        <v>249.99</v>
      </c>
      <c r="J21" s="12" t="s">
        <v>26</v>
      </c>
      <c r="K21" s="12" t="s">
        <v>40</v>
      </c>
      <c r="L21" s="12" t="s">
        <v>27</v>
      </c>
      <c r="M21" s="13">
        <v>45224</v>
      </c>
      <c r="N21" s="1">
        <v>749.97</v>
      </c>
      <c r="O21" s="12" t="str">
        <f>TEXT(B21,"mmm-yyyy")</f>
        <v>Apr-2024</v>
      </c>
      <c r="P21" s="13">
        <f>EOMONTH(B21,0)</f>
        <v>45412</v>
      </c>
      <c r="Q21" s="12">
        <f ca="1">DATEDIF(M21,TODAY(),"y")</f>
        <v>2</v>
      </c>
      <c r="R21" s="15">
        <f ca="1">NOW()</f>
        <v>46282.345924652778</v>
      </c>
      <c r="S21" s="12" t="str">
        <f>UPPER(LEFT(D21,1)&amp;LEFT(RIGHT(D21,LEN(D21)-FIND(" ",D21)),1))</f>
        <v>VS</v>
      </c>
    </row>
    <row r="22" spans="1:19">
      <c r="A22" s="12" t="s">
        <v>95</v>
      </c>
      <c r="B22" s="13">
        <v>45412</v>
      </c>
      <c r="C22" s="12" t="s">
        <v>96</v>
      </c>
      <c r="D22" s="12" t="s">
        <v>97</v>
      </c>
      <c r="E22" s="12" t="s">
        <v>80</v>
      </c>
      <c r="F22" s="12" t="s">
        <v>81</v>
      </c>
      <c r="G22" s="12" t="s">
        <v>19</v>
      </c>
      <c r="H22" s="12">
        <v>5</v>
      </c>
      <c r="I22" s="14">
        <v>699.99</v>
      </c>
      <c r="J22" s="12" t="s">
        <v>20</v>
      </c>
      <c r="K22" s="12" t="s">
        <v>50</v>
      </c>
      <c r="L22" s="12" t="s">
        <v>22</v>
      </c>
      <c r="M22" s="13">
        <v>45167</v>
      </c>
      <c r="N22" s="1">
        <v>3499.95</v>
      </c>
      <c r="O22" s="12" t="str">
        <f>TEXT(B22,"mmm-yyyy")</f>
        <v>Apr-2024</v>
      </c>
      <c r="P22" s="13">
        <f>EOMONTH(B22,0)</f>
        <v>45412</v>
      </c>
      <c r="Q22" s="12">
        <f ca="1">DATEDIF(M22,TODAY(),"y")</f>
        <v>3</v>
      </c>
      <c r="R22" s="15">
        <f ca="1">NOW()</f>
        <v>46282.345924652778</v>
      </c>
      <c r="S22" s="12" t="str">
        <f>UPPER(LEFT(D22,1)&amp;LEFT(RIGHT(D22,LEN(D22)-FIND(" ",D22)),1))</f>
        <v>BY</v>
      </c>
    </row>
    <row r="23" spans="1:19">
      <c r="A23" s="12" t="s">
        <v>98</v>
      </c>
      <c r="B23" s="13">
        <v>45413</v>
      </c>
      <c r="C23" s="12" t="s">
        <v>99</v>
      </c>
      <c r="D23" s="12" t="s">
        <v>100</v>
      </c>
      <c r="E23" s="12" t="s">
        <v>80</v>
      </c>
      <c r="F23" s="12" t="s">
        <v>81</v>
      </c>
      <c r="G23" s="12" t="s">
        <v>19</v>
      </c>
      <c r="H23" s="12">
        <v>4</v>
      </c>
      <c r="I23" s="14">
        <v>699.99</v>
      </c>
      <c r="J23" s="12" t="s">
        <v>20</v>
      </c>
      <c r="K23" s="12" t="s">
        <v>63</v>
      </c>
      <c r="L23" s="12" t="s">
        <v>36</v>
      </c>
      <c r="M23" s="13">
        <v>44409</v>
      </c>
      <c r="N23" s="1">
        <v>2799.96</v>
      </c>
      <c r="O23" s="12" t="str">
        <f>TEXT(B23,"mmm-yyyy")</f>
        <v>May-2024</v>
      </c>
      <c r="P23" s="13">
        <f>EOMONTH(B23,0)</f>
        <v>45443</v>
      </c>
      <c r="Q23" s="12">
        <f ca="1">DATEDIF(M23,TODAY(),"y")</f>
        <v>5</v>
      </c>
      <c r="R23" s="15">
        <f ca="1">NOW()</f>
        <v>46282.345924652778</v>
      </c>
      <c r="S23" s="12" t="str">
        <f>UPPER(LEFT(D23,1)&amp;LEFT(RIGHT(D23,LEN(D23)-FIND(" ",D23)),1))</f>
        <v>PM</v>
      </c>
    </row>
    <row r="24" spans="1:19">
      <c r="A24" s="12" t="s">
        <v>101</v>
      </c>
      <c r="B24" s="13">
        <v>45415</v>
      </c>
      <c r="C24" s="12" t="s">
        <v>102</v>
      </c>
      <c r="D24" s="12" t="s">
        <v>103</v>
      </c>
      <c r="E24" s="12" t="s">
        <v>17</v>
      </c>
      <c r="F24" s="12" t="s">
        <v>18</v>
      </c>
      <c r="G24" s="12" t="s">
        <v>19</v>
      </c>
      <c r="H24" s="12">
        <v>4</v>
      </c>
      <c r="I24" s="14">
        <v>249.99</v>
      </c>
      <c r="J24" s="12" t="s">
        <v>34</v>
      </c>
      <c r="K24" s="12" t="s">
        <v>40</v>
      </c>
      <c r="L24" s="12" t="s">
        <v>36</v>
      </c>
      <c r="M24" s="13">
        <v>44468</v>
      </c>
      <c r="N24" s="1">
        <v>999.96</v>
      </c>
      <c r="O24" s="12" t="str">
        <f>TEXT(B24,"mmm-yyyy")</f>
        <v>May-2024</v>
      </c>
      <c r="P24" s="13">
        <f>EOMONTH(B24,0)</f>
        <v>45443</v>
      </c>
      <c r="Q24" s="12">
        <f ca="1">DATEDIF(M24,TODAY(),"y")</f>
        <v>4</v>
      </c>
      <c r="R24" s="15">
        <f ca="1">NOW()</f>
        <v>46282.345924652778</v>
      </c>
      <c r="S24" s="12" t="str">
        <f>UPPER(LEFT(D24,1)&amp;LEFT(RIGHT(D24,LEN(D24)-FIND(" ",D24)),1))</f>
        <v>CP</v>
      </c>
    </row>
    <row r="25" spans="1:19">
      <c r="A25" s="12" t="s">
        <v>104</v>
      </c>
      <c r="B25" s="13">
        <v>45416</v>
      </c>
      <c r="C25" s="12" t="s">
        <v>86</v>
      </c>
      <c r="D25" s="12" t="s">
        <v>87</v>
      </c>
      <c r="E25" s="12" t="s">
        <v>105</v>
      </c>
      <c r="F25" s="12" t="s">
        <v>106</v>
      </c>
      <c r="G25" s="12" t="s">
        <v>46</v>
      </c>
      <c r="H25" s="12">
        <v>4</v>
      </c>
      <c r="I25" s="14">
        <v>299.99</v>
      </c>
      <c r="J25" s="12" t="s">
        <v>20</v>
      </c>
      <c r="K25" s="12" t="s">
        <v>50</v>
      </c>
      <c r="L25" s="12" t="s">
        <v>27</v>
      </c>
      <c r="M25" s="13">
        <v>44716</v>
      </c>
      <c r="N25" s="1">
        <v>1199.96</v>
      </c>
      <c r="O25" s="12" t="str">
        <f>TEXT(B25,"mmm-yyyy")</f>
        <v>May-2024</v>
      </c>
      <c r="P25" s="13">
        <f>EOMONTH(B25,0)</f>
        <v>45443</v>
      </c>
      <c r="Q25" s="12">
        <f ca="1">DATEDIF(M25,TODAY(),"y")</f>
        <v>4</v>
      </c>
      <c r="R25" s="15">
        <f ca="1">NOW()</f>
        <v>46282.345924652778</v>
      </c>
      <c r="S25" s="12" t="str">
        <f>UPPER(LEFT(D25,1)&amp;LEFT(RIGHT(D25,LEN(D25)-FIND(" ",D25)),1))</f>
        <v>MC</v>
      </c>
    </row>
    <row r="26" spans="1:19">
      <c r="A26" s="12" t="s">
        <v>107</v>
      </c>
      <c r="B26" s="13">
        <v>45422</v>
      </c>
      <c r="C26" s="12" t="s">
        <v>108</v>
      </c>
      <c r="D26" s="12" t="s">
        <v>109</v>
      </c>
      <c r="E26" s="12" t="s">
        <v>17</v>
      </c>
      <c r="F26" s="12" t="s">
        <v>18</v>
      </c>
      <c r="G26" s="12" t="s">
        <v>19</v>
      </c>
      <c r="H26" s="12">
        <v>5</v>
      </c>
      <c r="I26" s="14">
        <v>249.99</v>
      </c>
      <c r="J26" s="12" t="s">
        <v>26</v>
      </c>
      <c r="K26" s="12" t="s">
        <v>50</v>
      </c>
      <c r="L26" s="12" t="s">
        <v>36</v>
      </c>
      <c r="M26" s="13">
        <v>44525</v>
      </c>
      <c r="N26" s="1">
        <v>1249.95</v>
      </c>
      <c r="O26" s="12" t="str">
        <f>TEXT(B26,"mmm-yyyy")</f>
        <v>May-2024</v>
      </c>
      <c r="P26" s="13">
        <f>EOMONTH(B26,0)</f>
        <v>45443</v>
      </c>
      <c r="Q26" s="12">
        <f ca="1">DATEDIF(M26,TODAY(),"y")</f>
        <v>4</v>
      </c>
      <c r="R26" s="15">
        <f ca="1">NOW()</f>
        <v>46282.345924652778</v>
      </c>
      <c r="S26" s="12" t="str">
        <f>UPPER(LEFT(D26,1)&amp;LEFT(RIGHT(D26,LEN(D26)-FIND(" ",D26)),1))</f>
        <v>NC</v>
      </c>
    </row>
    <row r="27" spans="1:19">
      <c r="A27" s="12" t="s">
        <v>110</v>
      </c>
      <c r="B27" s="13">
        <v>45424</v>
      </c>
      <c r="C27" s="12" t="s">
        <v>68</v>
      </c>
      <c r="D27" s="12" t="s">
        <v>69</v>
      </c>
      <c r="E27" s="12" t="s">
        <v>105</v>
      </c>
      <c r="F27" s="12" t="s">
        <v>106</v>
      </c>
      <c r="G27" s="12" t="s">
        <v>46</v>
      </c>
      <c r="H27" s="12">
        <v>5</v>
      </c>
      <c r="I27" s="14">
        <v>299.99</v>
      </c>
      <c r="J27" s="12" t="s">
        <v>34</v>
      </c>
      <c r="K27" s="12" t="s">
        <v>63</v>
      </c>
      <c r="L27" s="12" t="s">
        <v>22</v>
      </c>
      <c r="M27" s="13">
        <v>45168</v>
      </c>
      <c r="N27" s="1">
        <v>1499.95</v>
      </c>
      <c r="O27" s="12" t="str">
        <f>TEXT(B27,"mmm-yyyy")</f>
        <v>May-2024</v>
      </c>
      <c r="P27" s="13">
        <f>EOMONTH(B27,0)</f>
        <v>45443</v>
      </c>
      <c r="Q27" s="12">
        <f ca="1">DATEDIF(M27,TODAY(),"y")</f>
        <v>3</v>
      </c>
      <c r="R27" s="15">
        <f ca="1">NOW()</f>
        <v>46282.345924652778</v>
      </c>
      <c r="S27" s="12" t="str">
        <f>UPPER(LEFT(D27,1)&amp;LEFT(RIGHT(D27,LEN(D27)-FIND(" ",D27)),1))</f>
        <v>SG</v>
      </c>
    </row>
    <row r="28" spans="1:19">
      <c r="A28" s="12" t="s">
        <v>111</v>
      </c>
      <c r="B28" s="13">
        <v>45424</v>
      </c>
      <c r="C28" s="12" t="s">
        <v>112</v>
      </c>
      <c r="D28" s="12" t="s">
        <v>113</v>
      </c>
      <c r="E28" s="12" t="s">
        <v>114</v>
      </c>
      <c r="F28" s="12" t="s">
        <v>115</v>
      </c>
      <c r="G28" s="12" t="s">
        <v>33</v>
      </c>
      <c r="H28" s="12">
        <v>3</v>
      </c>
      <c r="I28" s="14">
        <v>79.989999999999995</v>
      </c>
      <c r="J28" s="12" t="s">
        <v>34</v>
      </c>
      <c r="K28" s="12" t="s">
        <v>63</v>
      </c>
      <c r="L28" s="12" t="s">
        <v>27</v>
      </c>
      <c r="M28" s="13">
        <v>45012</v>
      </c>
      <c r="N28" s="1">
        <v>239.97</v>
      </c>
      <c r="O28" s="12" t="str">
        <f>TEXT(B28,"mmm-yyyy")</f>
        <v>May-2024</v>
      </c>
      <c r="P28" s="13">
        <f>EOMONTH(B28,0)</f>
        <v>45443</v>
      </c>
      <c r="Q28" s="12">
        <f ca="1">DATEDIF(M28,TODAY(),"y")</f>
        <v>3</v>
      </c>
      <c r="R28" s="15">
        <f ca="1">NOW()</f>
        <v>46282.345924652778</v>
      </c>
      <c r="S28" s="12" t="str">
        <f>UPPER(LEFT(D28,1)&amp;LEFT(RIGHT(D28,LEN(D28)-FIND(" ",D28)),1))</f>
        <v>LM</v>
      </c>
    </row>
    <row r="29" spans="1:19">
      <c r="A29" s="12" t="s">
        <v>116</v>
      </c>
      <c r="B29" s="13">
        <v>45424</v>
      </c>
      <c r="C29" s="12" t="s">
        <v>99</v>
      </c>
      <c r="D29" s="12" t="s">
        <v>100</v>
      </c>
      <c r="E29" s="12" t="s">
        <v>117</v>
      </c>
      <c r="F29" s="12" t="s">
        <v>118</v>
      </c>
      <c r="G29" s="12" t="s">
        <v>19</v>
      </c>
      <c r="H29" s="12">
        <v>5</v>
      </c>
      <c r="I29" s="14">
        <v>89.99</v>
      </c>
      <c r="J29" s="12" t="s">
        <v>20</v>
      </c>
      <c r="K29" s="12" t="s">
        <v>40</v>
      </c>
      <c r="L29" s="12" t="s">
        <v>27</v>
      </c>
      <c r="M29" s="13">
        <v>44919</v>
      </c>
      <c r="N29" s="1">
        <v>449.95</v>
      </c>
      <c r="O29" s="12" t="str">
        <f>TEXT(B29,"mmm-yyyy")</f>
        <v>May-2024</v>
      </c>
      <c r="P29" s="13">
        <f>EOMONTH(B29,0)</f>
        <v>45443</v>
      </c>
      <c r="Q29" s="12">
        <f ca="1">DATEDIF(M29,TODAY(),"y")</f>
        <v>3</v>
      </c>
      <c r="R29" s="15">
        <f ca="1">NOW()</f>
        <v>46282.345924652778</v>
      </c>
      <c r="S29" s="12" t="str">
        <f>UPPER(LEFT(D29,1)&amp;LEFT(RIGHT(D29,LEN(D29)-FIND(" ",D29)),1))</f>
        <v>PM</v>
      </c>
    </row>
    <row r="30" spans="1:19">
      <c r="A30" s="12" t="s">
        <v>119</v>
      </c>
      <c r="B30" s="13">
        <v>45425</v>
      </c>
      <c r="C30" s="12" t="s">
        <v>120</v>
      </c>
      <c r="D30" s="12" t="s">
        <v>121</v>
      </c>
      <c r="E30" s="12" t="s">
        <v>31</v>
      </c>
      <c r="F30" s="12" t="s">
        <v>32</v>
      </c>
      <c r="G30" s="12" t="s">
        <v>33</v>
      </c>
      <c r="H30" s="12">
        <v>2</v>
      </c>
      <c r="I30" s="14">
        <v>59.99</v>
      </c>
      <c r="J30" s="12" t="s">
        <v>57</v>
      </c>
      <c r="K30" s="12" t="s">
        <v>21</v>
      </c>
      <c r="L30" s="12" t="s">
        <v>36</v>
      </c>
      <c r="M30" s="13">
        <v>45214</v>
      </c>
      <c r="N30" s="1">
        <v>119.98</v>
      </c>
      <c r="O30" s="12" t="str">
        <f>TEXT(B30,"mmm-yyyy")</f>
        <v>May-2024</v>
      </c>
      <c r="P30" s="13">
        <f>EOMONTH(B30,0)</f>
        <v>45443</v>
      </c>
      <c r="Q30" s="12">
        <f ca="1">DATEDIF(M30,TODAY(),"y")</f>
        <v>2</v>
      </c>
      <c r="R30" s="15">
        <f ca="1">NOW()</f>
        <v>46282.345924652778</v>
      </c>
      <c r="S30" s="12" t="str">
        <f>UPPER(LEFT(D30,1)&amp;LEFT(RIGHT(D30,LEN(D30)-FIND(" ",D30)),1))</f>
        <v>HR</v>
      </c>
    </row>
    <row r="31" spans="1:19">
      <c r="A31" s="12" t="s">
        <v>122</v>
      </c>
      <c r="B31" s="13">
        <v>45427</v>
      </c>
      <c r="C31" s="12" t="s">
        <v>123</v>
      </c>
      <c r="D31" s="12" t="s">
        <v>124</v>
      </c>
      <c r="E31" s="12" t="s">
        <v>31</v>
      </c>
      <c r="F31" s="12" t="s">
        <v>32</v>
      </c>
      <c r="G31" s="12" t="s">
        <v>33</v>
      </c>
      <c r="H31" s="12">
        <v>4</v>
      </c>
      <c r="I31" s="14">
        <v>59.99</v>
      </c>
      <c r="J31" s="12" t="s">
        <v>57</v>
      </c>
      <c r="K31" s="12" t="s">
        <v>63</v>
      </c>
      <c r="L31" s="12" t="s">
        <v>36</v>
      </c>
      <c r="M31" s="13">
        <v>44867</v>
      </c>
      <c r="N31" s="1">
        <v>239.96</v>
      </c>
      <c r="O31" s="12" t="str">
        <f>TEXT(B31,"mmm-yyyy")</f>
        <v>May-2024</v>
      </c>
      <c r="P31" s="13">
        <f>EOMONTH(B31,0)</f>
        <v>45443</v>
      </c>
      <c r="Q31" s="12">
        <f ca="1">DATEDIF(M31,TODAY(),"y")</f>
        <v>3</v>
      </c>
      <c r="R31" s="15">
        <f ca="1">NOW()</f>
        <v>46282.345924652778</v>
      </c>
      <c r="S31" s="12" t="str">
        <f>UPPER(LEFT(D31,1)&amp;LEFT(RIGHT(D31,LEN(D31)-FIND(" ",D31)),1))</f>
        <v>EM</v>
      </c>
    </row>
    <row r="32" spans="1:19">
      <c r="A32" s="12" t="s">
        <v>125</v>
      </c>
      <c r="B32" s="13">
        <v>45427</v>
      </c>
      <c r="C32" s="12" t="s">
        <v>55</v>
      </c>
      <c r="D32" s="12" t="s">
        <v>56</v>
      </c>
      <c r="E32" s="12" t="s">
        <v>126</v>
      </c>
      <c r="F32" s="12" t="s">
        <v>127</v>
      </c>
      <c r="G32" s="12" t="s">
        <v>46</v>
      </c>
      <c r="H32" s="12">
        <v>5</v>
      </c>
      <c r="I32" s="14">
        <v>199.99</v>
      </c>
      <c r="J32" s="12" t="s">
        <v>20</v>
      </c>
      <c r="K32" s="12" t="s">
        <v>35</v>
      </c>
      <c r="L32" s="12" t="s">
        <v>36</v>
      </c>
      <c r="M32" s="13">
        <v>44412</v>
      </c>
      <c r="N32" s="1">
        <v>999.95</v>
      </c>
      <c r="O32" s="12" t="str">
        <f>TEXT(B32,"mmm-yyyy")</f>
        <v>May-2024</v>
      </c>
      <c r="P32" s="13">
        <f>EOMONTH(B32,0)</f>
        <v>45443</v>
      </c>
      <c r="Q32" s="12">
        <f ca="1">DATEDIF(M32,TODAY(),"y")</f>
        <v>5</v>
      </c>
      <c r="R32" s="15">
        <f ca="1">NOW()</f>
        <v>46282.345924652778</v>
      </c>
      <c r="S32" s="12" t="str">
        <f>UPPER(LEFT(D32,1)&amp;LEFT(RIGHT(D32,LEN(D32)-FIND(" ",D32)),1))</f>
        <v>CA</v>
      </c>
    </row>
    <row r="33" spans="1:19">
      <c r="A33" s="12" t="s">
        <v>128</v>
      </c>
      <c r="B33" s="13">
        <v>45428</v>
      </c>
      <c r="C33" s="12" t="s">
        <v>129</v>
      </c>
      <c r="D33" s="12" t="s">
        <v>130</v>
      </c>
      <c r="E33" s="12" t="s">
        <v>44</v>
      </c>
      <c r="F33" s="12" t="s">
        <v>45</v>
      </c>
      <c r="G33" s="12" t="s">
        <v>46</v>
      </c>
      <c r="H33" s="12">
        <v>2</v>
      </c>
      <c r="I33" s="14">
        <v>149.99</v>
      </c>
      <c r="J33" s="12" t="s">
        <v>26</v>
      </c>
      <c r="K33" s="12" t="s">
        <v>50</v>
      </c>
      <c r="L33" s="12" t="s">
        <v>22</v>
      </c>
      <c r="M33" s="13">
        <v>44823</v>
      </c>
      <c r="N33" s="1">
        <v>299.98</v>
      </c>
      <c r="O33" s="12" t="str">
        <f>TEXT(B33,"mmm-yyyy")</f>
        <v>May-2024</v>
      </c>
      <c r="P33" s="13">
        <f>EOMONTH(B33,0)</f>
        <v>45443</v>
      </c>
      <c r="Q33" s="12">
        <f ca="1">DATEDIF(M33,TODAY(),"y")</f>
        <v>3</v>
      </c>
      <c r="R33" s="15">
        <f ca="1">NOW()</f>
        <v>46282.345924652778</v>
      </c>
      <c r="S33" s="12" t="str">
        <f>UPPER(LEFT(D33,1)&amp;LEFT(RIGHT(D33,LEN(D33)-FIND(" ",D33)),1))</f>
        <v>LA</v>
      </c>
    </row>
    <row r="34" spans="1:19">
      <c r="A34" s="12" t="s">
        <v>131</v>
      </c>
      <c r="B34" s="13">
        <v>45430</v>
      </c>
      <c r="C34" s="12" t="s">
        <v>132</v>
      </c>
      <c r="D34" s="12" t="s">
        <v>133</v>
      </c>
      <c r="E34" s="12" t="s">
        <v>44</v>
      </c>
      <c r="F34" s="12" t="s">
        <v>45</v>
      </c>
      <c r="G34" s="12" t="s">
        <v>46</v>
      </c>
      <c r="H34" s="12">
        <v>3</v>
      </c>
      <c r="I34" s="14">
        <v>149.99</v>
      </c>
      <c r="J34" s="12" t="s">
        <v>26</v>
      </c>
      <c r="K34" s="12" t="s">
        <v>50</v>
      </c>
      <c r="L34" s="12" t="s">
        <v>27</v>
      </c>
      <c r="M34" s="13">
        <v>45068</v>
      </c>
      <c r="N34" s="1">
        <v>449.97</v>
      </c>
      <c r="O34" s="12" t="str">
        <f>TEXT(B34,"mmm-yyyy")</f>
        <v>May-2024</v>
      </c>
      <c r="P34" s="13">
        <f>EOMONTH(B34,0)</f>
        <v>45443</v>
      </c>
      <c r="Q34" s="12">
        <f ca="1">DATEDIF(M34,TODAY(),"y")</f>
        <v>3</v>
      </c>
      <c r="R34" s="15">
        <f ca="1">NOW()</f>
        <v>46282.345924652778</v>
      </c>
      <c r="S34" s="12" t="str">
        <f>UPPER(LEFT(D34,1)&amp;LEFT(RIGHT(D34,LEN(D34)-FIND(" ",D34)),1))</f>
        <v>EW</v>
      </c>
    </row>
    <row r="35" spans="1:19">
      <c r="A35" s="12" t="s">
        <v>134</v>
      </c>
      <c r="B35" s="13">
        <v>45432</v>
      </c>
      <c r="C35" s="12" t="s">
        <v>29</v>
      </c>
      <c r="D35" s="12" t="s">
        <v>30</v>
      </c>
      <c r="E35" s="12" t="s">
        <v>61</v>
      </c>
      <c r="F35" s="12" t="s">
        <v>62</v>
      </c>
      <c r="G35" s="12" t="s">
        <v>19</v>
      </c>
      <c r="H35" s="12">
        <v>1</v>
      </c>
      <c r="I35" s="14">
        <v>899.99</v>
      </c>
      <c r="J35" s="12" t="s">
        <v>26</v>
      </c>
      <c r="K35" s="12" t="s">
        <v>50</v>
      </c>
      <c r="L35" s="12" t="s">
        <v>27</v>
      </c>
      <c r="M35" s="13">
        <v>44578</v>
      </c>
      <c r="N35" s="1">
        <v>899.99</v>
      </c>
      <c r="O35" s="12" t="str">
        <f>TEXT(B35,"mmm-yyyy")</f>
        <v>May-2024</v>
      </c>
      <c r="P35" s="13">
        <f>EOMONTH(B35,0)</f>
        <v>45443</v>
      </c>
      <c r="Q35" s="12">
        <f ca="1">DATEDIF(M35,TODAY(),"y")</f>
        <v>4</v>
      </c>
      <c r="R35" s="15">
        <f ca="1">NOW()</f>
        <v>46282.345924652778</v>
      </c>
      <c r="S35" s="12" t="str">
        <f>UPPER(LEFT(D35,1)&amp;LEFT(RIGHT(D35,LEN(D35)-FIND(" ",D35)),1))</f>
        <v>KS</v>
      </c>
    </row>
    <row r="36" spans="1:19">
      <c r="A36" s="12" t="s">
        <v>135</v>
      </c>
      <c r="B36" s="13">
        <v>45434</v>
      </c>
      <c r="C36" s="12" t="s">
        <v>99</v>
      </c>
      <c r="D36" s="12" t="s">
        <v>100</v>
      </c>
      <c r="E36" s="12" t="s">
        <v>105</v>
      </c>
      <c r="F36" s="12" t="s">
        <v>106</v>
      </c>
      <c r="G36" s="12" t="s">
        <v>46</v>
      </c>
      <c r="H36" s="12">
        <v>3</v>
      </c>
      <c r="I36" s="14">
        <v>299.99</v>
      </c>
      <c r="J36" s="12" t="s">
        <v>26</v>
      </c>
      <c r="K36" s="12" t="s">
        <v>63</v>
      </c>
      <c r="L36" s="12" t="s">
        <v>22</v>
      </c>
      <c r="M36" s="13">
        <v>44824</v>
      </c>
      <c r="N36" s="1">
        <v>899.97</v>
      </c>
      <c r="O36" s="12" t="str">
        <f>TEXT(B36,"mmm-yyyy")</f>
        <v>May-2024</v>
      </c>
      <c r="P36" s="13">
        <f>EOMONTH(B36,0)</f>
        <v>45443</v>
      </c>
      <c r="Q36" s="12">
        <f ca="1">DATEDIF(M36,TODAY(),"y")</f>
        <v>3</v>
      </c>
      <c r="R36" s="15">
        <f ca="1">NOW()</f>
        <v>46282.345924652778</v>
      </c>
      <c r="S36" s="12" t="str">
        <f>UPPER(LEFT(D36,1)&amp;LEFT(RIGHT(D36,LEN(D36)-FIND(" ",D36)),1))</f>
        <v>PM</v>
      </c>
    </row>
    <row r="37" spans="1:19">
      <c r="A37" s="12" t="s">
        <v>136</v>
      </c>
      <c r="B37" s="13">
        <v>45435</v>
      </c>
      <c r="C37" s="12" t="s">
        <v>129</v>
      </c>
      <c r="D37" s="12" t="s">
        <v>130</v>
      </c>
      <c r="E37" s="12" t="s">
        <v>114</v>
      </c>
      <c r="F37" s="12" t="s">
        <v>115</v>
      </c>
      <c r="G37" s="12" t="s">
        <v>33</v>
      </c>
      <c r="H37" s="12">
        <v>3</v>
      </c>
      <c r="I37" s="14">
        <v>79.989999999999995</v>
      </c>
      <c r="J37" s="12" t="s">
        <v>20</v>
      </c>
      <c r="K37" s="12" t="s">
        <v>35</v>
      </c>
      <c r="L37" s="12" t="s">
        <v>22</v>
      </c>
      <c r="M37" s="13">
        <v>45046</v>
      </c>
      <c r="N37" s="1">
        <v>239.97</v>
      </c>
      <c r="O37" s="12" t="str">
        <f>TEXT(B37,"mmm-yyyy")</f>
        <v>May-2024</v>
      </c>
      <c r="P37" s="13">
        <f>EOMONTH(B37,0)</f>
        <v>45443</v>
      </c>
      <c r="Q37" s="12">
        <f ca="1">DATEDIF(M37,TODAY(),"y")</f>
        <v>3</v>
      </c>
      <c r="R37" s="15">
        <f ca="1">NOW()</f>
        <v>46282.345924652778</v>
      </c>
      <c r="S37" s="12" t="str">
        <f>UPPER(LEFT(D37,1)&amp;LEFT(RIGHT(D37,LEN(D37)-FIND(" ",D37)),1))</f>
        <v>LA</v>
      </c>
    </row>
    <row r="38" spans="1:19">
      <c r="A38" s="12" t="s">
        <v>137</v>
      </c>
      <c r="B38" s="13">
        <v>45438</v>
      </c>
      <c r="C38" s="12" t="s">
        <v>138</v>
      </c>
      <c r="D38" s="12" t="s">
        <v>139</v>
      </c>
      <c r="E38" s="12" t="s">
        <v>126</v>
      </c>
      <c r="F38" s="12" t="s">
        <v>127</v>
      </c>
      <c r="G38" s="12" t="s">
        <v>46</v>
      </c>
      <c r="H38" s="12">
        <v>3</v>
      </c>
      <c r="I38" s="14">
        <v>199.99</v>
      </c>
      <c r="J38" s="12" t="s">
        <v>26</v>
      </c>
      <c r="K38" s="12" t="s">
        <v>40</v>
      </c>
      <c r="L38" s="12" t="s">
        <v>27</v>
      </c>
      <c r="M38" s="13">
        <v>45292</v>
      </c>
      <c r="N38" s="1">
        <v>599.97</v>
      </c>
      <c r="O38" s="12" t="str">
        <f>TEXT(B38,"mmm-yyyy")</f>
        <v>May-2024</v>
      </c>
      <c r="P38" s="13">
        <f>EOMONTH(B38,0)</f>
        <v>45443</v>
      </c>
      <c r="Q38" s="12">
        <f ca="1">DATEDIF(M38,TODAY(),"y")</f>
        <v>2</v>
      </c>
      <c r="R38" s="15">
        <f ca="1">NOW()</f>
        <v>46282.345924652778</v>
      </c>
      <c r="S38" s="12" t="str">
        <f>UPPER(LEFT(D38,1)&amp;LEFT(RIGHT(D38,LEN(D38)-FIND(" ",D38)),1))</f>
        <v>ST</v>
      </c>
    </row>
    <row r="39" spans="1:19">
      <c r="A39" s="12" t="s">
        <v>140</v>
      </c>
      <c r="B39" s="13">
        <v>45440</v>
      </c>
      <c r="C39" s="12" t="s">
        <v>141</v>
      </c>
      <c r="D39" s="12" t="s">
        <v>142</v>
      </c>
      <c r="E39" s="12" t="s">
        <v>80</v>
      </c>
      <c r="F39" s="12" t="s">
        <v>81</v>
      </c>
      <c r="G39" s="12" t="s">
        <v>19</v>
      </c>
      <c r="H39" s="12">
        <v>5</v>
      </c>
      <c r="I39" s="14">
        <v>699.99</v>
      </c>
      <c r="J39" s="12" t="s">
        <v>34</v>
      </c>
      <c r="K39" s="12" t="s">
        <v>50</v>
      </c>
      <c r="L39" s="12" t="s">
        <v>36</v>
      </c>
      <c r="M39" s="13">
        <v>44407</v>
      </c>
      <c r="N39" s="1">
        <v>3499.95</v>
      </c>
      <c r="O39" s="12" t="str">
        <f>TEXT(B39,"mmm-yyyy")</f>
        <v>May-2024</v>
      </c>
      <c r="P39" s="13">
        <f>EOMONTH(B39,0)</f>
        <v>45443</v>
      </c>
      <c r="Q39" s="12">
        <f ca="1">DATEDIF(M39,TODAY(),"y")</f>
        <v>5</v>
      </c>
      <c r="R39" s="15">
        <f ca="1">NOW()</f>
        <v>46282.345924652778</v>
      </c>
      <c r="S39" s="12" t="str">
        <f>UPPER(LEFT(D39,1)&amp;LEFT(RIGHT(D39,LEN(D39)-FIND(" ",D39)),1))</f>
        <v>JT</v>
      </c>
    </row>
    <row r="40" spans="1:19">
      <c r="A40" s="12" t="s">
        <v>143</v>
      </c>
      <c r="B40" s="13">
        <v>45441</v>
      </c>
      <c r="C40" s="12" t="s">
        <v>144</v>
      </c>
      <c r="D40" s="12" t="s">
        <v>145</v>
      </c>
      <c r="E40" s="12" t="s">
        <v>117</v>
      </c>
      <c r="F40" s="12" t="s">
        <v>118</v>
      </c>
      <c r="G40" s="12" t="s">
        <v>19</v>
      </c>
      <c r="H40" s="12">
        <v>3</v>
      </c>
      <c r="I40" s="14">
        <v>89.99</v>
      </c>
      <c r="J40" s="12" t="s">
        <v>34</v>
      </c>
      <c r="K40" s="12" t="s">
        <v>21</v>
      </c>
      <c r="L40" s="12" t="s">
        <v>27</v>
      </c>
      <c r="M40" s="13">
        <v>45120</v>
      </c>
      <c r="N40" s="1">
        <v>269.97000000000003</v>
      </c>
      <c r="O40" s="12" t="str">
        <f>TEXT(B40,"mmm-yyyy")</f>
        <v>May-2024</v>
      </c>
      <c r="P40" s="13">
        <f>EOMONTH(B40,0)</f>
        <v>45443</v>
      </c>
      <c r="Q40" s="12">
        <f ca="1">DATEDIF(M40,TODAY(),"y")</f>
        <v>3</v>
      </c>
      <c r="R40" s="15">
        <f ca="1">NOW()</f>
        <v>46282.345924652778</v>
      </c>
      <c r="S40" s="12" t="str">
        <f>UPPER(LEFT(D40,1)&amp;LEFT(RIGHT(D40,LEN(D40)-FIND(" ",D40)),1))</f>
        <v>HM</v>
      </c>
    </row>
    <row r="41" spans="1:19">
      <c r="A41" s="12" t="s">
        <v>146</v>
      </c>
      <c r="B41" s="13">
        <v>45443</v>
      </c>
      <c r="C41" s="12" t="s">
        <v>147</v>
      </c>
      <c r="D41" s="12" t="s">
        <v>148</v>
      </c>
      <c r="E41" s="12" t="s">
        <v>114</v>
      </c>
      <c r="F41" s="12" t="s">
        <v>115</v>
      </c>
      <c r="G41" s="12" t="s">
        <v>33</v>
      </c>
      <c r="H41" s="12">
        <v>1</v>
      </c>
      <c r="I41" s="14">
        <v>79.989999999999995</v>
      </c>
      <c r="J41" s="12" t="s">
        <v>20</v>
      </c>
      <c r="K41" s="12" t="s">
        <v>40</v>
      </c>
      <c r="L41" s="12" t="s">
        <v>36</v>
      </c>
      <c r="M41" s="13">
        <v>44917</v>
      </c>
      <c r="N41" s="1">
        <v>79.989999999999995</v>
      </c>
      <c r="O41" s="12" t="str">
        <f>TEXT(B41,"mmm-yyyy")</f>
        <v>May-2024</v>
      </c>
      <c r="P41" s="13">
        <f>EOMONTH(B41,0)</f>
        <v>45443</v>
      </c>
      <c r="Q41" s="12">
        <f ca="1">DATEDIF(M41,TODAY(),"y")</f>
        <v>3</v>
      </c>
      <c r="R41" s="15">
        <f ca="1">NOW()</f>
        <v>46282.345924652778</v>
      </c>
      <c r="S41" s="12" t="str">
        <f>UPPER(LEFT(D41,1)&amp;LEFT(RIGHT(D41,LEN(D41)-FIND(" ",D41)),1))</f>
        <v>DK</v>
      </c>
    </row>
    <row r="42" spans="1:19">
      <c r="A42" s="12" t="s">
        <v>149</v>
      </c>
      <c r="B42" s="13">
        <v>45444</v>
      </c>
      <c r="C42" s="12" t="s">
        <v>150</v>
      </c>
      <c r="D42" s="12" t="s">
        <v>151</v>
      </c>
      <c r="E42" s="12" t="s">
        <v>31</v>
      </c>
      <c r="F42" s="12" t="s">
        <v>32</v>
      </c>
      <c r="G42" s="12" t="s">
        <v>33</v>
      </c>
      <c r="H42" s="12">
        <v>2</v>
      </c>
      <c r="I42" s="14">
        <v>59.99</v>
      </c>
      <c r="J42" s="12" t="s">
        <v>20</v>
      </c>
      <c r="K42" s="12" t="s">
        <v>50</v>
      </c>
      <c r="L42" s="12" t="s">
        <v>22</v>
      </c>
      <c r="M42" s="13">
        <v>45390</v>
      </c>
      <c r="N42" s="1">
        <v>119.98</v>
      </c>
      <c r="O42" s="12" t="str">
        <f>TEXT(B42,"mmm-yyyy")</f>
        <v>Jun-2024</v>
      </c>
      <c r="P42" s="13">
        <f>EOMONTH(B42,0)</f>
        <v>45473</v>
      </c>
      <c r="Q42" s="12">
        <f ca="1">DATEDIF(M42,TODAY(),"y")</f>
        <v>2</v>
      </c>
      <c r="R42" s="15">
        <f ca="1">NOW()</f>
        <v>46282.345924652778</v>
      </c>
      <c r="S42" s="12" t="str">
        <f>UPPER(LEFT(D42,1)&amp;LEFT(RIGHT(D42,LEN(D42)-FIND(" ",D42)),1))</f>
        <v>SB</v>
      </c>
    </row>
    <row r="43" spans="1:19">
      <c r="A43" s="12" t="s">
        <v>152</v>
      </c>
      <c r="B43" s="13">
        <v>45444</v>
      </c>
      <c r="C43" s="12" t="s">
        <v>55</v>
      </c>
      <c r="D43" s="12" t="s">
        <v>56</v>
      </c>
      <c r="E43" s="12" t="s">
        <v>117</v>
      </c>
      <c r="F43" s="12" t="s">
        <v>118</v>
      </c>
      <c r="G43" s="12" t="s">
        <v>19</v>
      </c>
      <c r="H43" s="12">
        <v>1</v>
      </c>
      <c r="I43" s="14">
        <v>89.99</v>
      </c>
      <c r="J43" s="12" t="s">
        <v>20</v>
      </c>
      <c r="K43" s="12" t="s">
        <v>40</v>
      </c>
      <c r="L43" s="12" t="s">
        <v>22</v>
      </c>
      <c r="M43" s="13">
        <v>45141</v>
      </c>
      <c r="N43" s="1">
        <v>89.99</v>
      </c>
      <c r="O43" s="12" t="str">
        <f>TEXT(B43,"mmm-yyyy")</f>
        <v>Jun-2024</v>
      </c>
      <c r="P43" s="13">
        <f>EOMONTH(B43,0)</f>
        <v>45473</v>
      </c>
      <c r="Q43" s="12">
        <f ca="1">DATEDIF(M43,TODAY(),"y")</f>
        <v>3</v>
      </c>
      <c r="R43" s="15">
        <f ca="1">NOW()</f>
        <v>46282.345924652778</v>
      </c>
      <c r="S43" s="12" t="str">
        <f>UPPER(LEFT(D43,1)&amp;LEFT(RIGHT(D43,LEN(D43)-FIND(" ",D43)),1))</f>
        <v>CA</v>
      </c>
    </row>
    <row r="44" spans="1:19">
      <c r="A44" s="12" t="s">
        <v>153</v>
      </c>
      <c r="B44" s="13">
        <v>45446</v>
      </c>
      <c r="C44" s="12" t="s">
        <v>154</v>
      </c>
      <c r="D44" s="12" t="s">
        <v>155</v>
      </c>
      <c r="E44" s="12" t="s">
        <v>117</v>
      </c>
      <c r="F44" s="12" t="s">
        <v>118</v>
      </c>
      <c r="G44" s="12" t="s">
        <v>19</v>
      </c>
      <c r="H44" s="12">
        <v>5</v>
      </c>
      <c r="I44" s="14">
        <v>89.99</v>
      </c>
      <c r="J44" s="12" t="s">
        <v>26</v>
      </c>
      <c r="K44" s="12" t="s">
        <v>63</v>
      </c>
      <c r="L44" s="12" t="s">
        <v>36</v>
      </c>
      <c r="M44" s="13">
        <v>44587</v>
      </c>
      <c r="N44" s="1">
        <v>449.95</v>
      </c>
      <c r="O44" s="12" t="str">
        <f>TEXT(B44,"mmm-yyyy")</f>
        <v>Jun-2024</v>
      </c>
      <c r="P44" s="13">
        <f>EOMONTH(B44,0)</f>
        <v>45473</v>
      </c>
      <c r="Q44" s="12">
        <f ca="1">DATEDIF(M44,TODAY(),"y")</f>
        <v>4</v>
      </c>
      <c r="R44" s="15">
        <f ca="1">NOW()</f>
        <v>46282.345924652778</v>
      </c>
      <c r="S44" s="12" t="str">
        <f>UPPER(LEFT(D44,1)&amp;LEFT(RIGHT(D44,LEN(D44)-FIND(" ",D44)),1))</f>
        <v>SD</v>
      </c>
    </row>
    <row r="45" spans="1:19">
      <c r="A45" s="12" t="s">
        <v>156</v>
      </c>
      <c r="B45" s="13">
        <v>45449</v>
      </c>
      <c r="C45" s="12" t="s">
        <v>24</v>
      </c>
      <c r="D45" s="12" t="s">
        <v>25</v>
      </c>
      <c r="E45" s="12" t="s">
        <v>17</v>
      </c>
      <c r="F45" s="12" t="s">
        <v>18</v>
      </c>
      <c r="G45" s="12" t="s">
        <v>19</v>
      </c>
      <c r="H45" s="12">
        <v>5</v>
      </c>
      <c r="I45" s="14">
        <v>249.99</v>
      </c>
      <c r="J45" s="12" t="s">
        <v>26</v>
      </c>
      <c r="K45" s="12" t="s">
        <v>63</v>
      </c>
      <c r="L45" s="12" t="s">
        <v>36</v>
      </c>
      <c r="M45" s="13">
        <v>44707</v>
      </c>
      <c r="N45" s="1">
        <v>1249.95</v>
      </c>
      <c r="O45" s="12" t="str">
        <f>TEXT(B45,"mmm-yyyy")</f>
        <v>Jun-2024</v>
      </c>
      <c r="P45" s="13">
        <f>EOMONTH(B45,0)</f>
        <v>45473</v>
      </c>
      <c r="Q45" s="12">
        <f ca="1">DATEDIF(M45,TODAY(),"y")</f>
        <v>4</v>
      </c>
      <c r="R45" s="15">
        <f ca="1">NOW()</f>
        <v>46282.345924652778</v>
      </c>
      <c r="S45" s="12" t="str">
        <f>UPPER(LEFT(D45,1)&amp;LEFT(RIGHT(D45,LEN(D45)-FIND(" ",D45)),1))</f>
        <v>JJ</v>
      </c>
    </row>
    <row r="46" spans="1:19">
      <c r="A46" s="12" t="s">
        <v>157</v>
      </c>
      <c r="B46" s="13">
        <v>45449</v>
      </c>
      <c r="C46" s="12" t="s">
        <v>158</v>
      </c>
      <c r="D46" s="12" t="s">
        <v>159</v>
      </c>
      <c r="E46" s="12" t="s">
        <v>117</v>
      </c>
      <c r="F46" s="12" t="s">
        <v>118</v>
      </c>
      <c r="G46" s="12" t="s">
        <v>19</v>
      </c>
      <c r="H46" s="12">
        <v>1</v>
      </c>
      <c r="I46" s="14">
        <v>89.99</v>
      </c>
      <c r="J46" s="12" t="s">
        <v>26</v>
      </c>
      <c r="K46" s="12" t="s">
        <v>35</v>
      </c>
      <c r="L46" s="12" t="s">
        <v>36</v>
      </c>
      <c r="M46" s="13">
        <v>44582</v>
      </c>
      <c r="N46" s="1">
        <v>89.99</v>
      </c>
      <c r="O46" s="12" t="str">
        <f>TEXT(B46,"mmm-yyyy")</f>
        <v>Jun-2024</v>
      </c>
      <c r="P46" s="13">
        <f>EOMONTH(B46,0)</f>
        <v>45473</v>
      </c>
      <c r="Q46" s="12">
        <f ca="1">DATEDIF(M46,TODAY(),"y")</f>
        <v>4</v>
      </c>
      <c r="R46" s="15">
        <f ca="1">NOW()</f>
        <v>46282.345924652778</v>
      </c>
      <c r="S46" s="12" t="str">
        <f>UPPER(LEFT(D46,1)&amp;LEFT(RIGHT(D46,LEN(D46)-FIND(" ",D46)),1))</f>
        <v>BC</v>
      </c>
    </row>
    <row r="47" spans="1:19">
      <c r="A47" s="12" t="s">
        <v>160</v>
      </c>
      <c r="B47" s="13">
        <v>45450</v>
      </c>
      <c r="C47" s="12" t="s">
        <v>42</v>
      </c>
      <c r="D47" s="12" t="s">
        <v>43</v>
      </c>
      <c r="E47" s="12" t="s">
        <v>44</v>
      </c>
      <c r="F47" s="12" t="s">
        <v>45</v>
      </c>
      <c r="G47" s="12" t="s">
        <v>46</v>
      </c>
      <c r="H47" s="12">
        <v>2</v>
      </c>
      <c r="I47" s="14">
        <v>149.99</v>
      </c>
      <c r="J47" s="12" t="s">
        <v>20</v>
      </c>
      <c r="K47" s="12" t="s">
        <v>63</v>
      </c>
      <c r="L47" s="12" t="s">
        <v>27</v>
      </c>
      <c r="M47" s="13">
        <v>44645</v>
      </c>
      <c r="N47" s="1">
        <v>299.98</v>
      </c>
      <c r="O47" s="12" t="str">
        <f>TEXT(B47,"mmm-yyyy")</f>
        <v>Jun-2024</v>
      </c>
      <c r="P47" s="13">
        <f>EOMONTH(B47,0)</f>
        <v>45473</v>
      </c>
      <c r="Q47" s="12">
        <f ca="1">DATEDIF(M47,TODAY(),"y")</f>
        <v>4</v>
      </c>
      <c r="R47" s="15">
        <f ca="1">NOW()</f>
        <v>46282.345924652778</v>
      </c>
      <c r="S47" s="12" t="str">
        <f>UPPER(LEFT(D47,1)&amp;LEFT(RIGHT(D47,LEN(D47)-FIND(" ",D47)),1))</f>
        <v>MB</v>
      </c>
    </row>
    <row r="48" spans="1:19">
      <c r="A48" s="12" t="s">
        <v>161</v>
      </c>
      <c r="B48" s="13">
        <v>45452</v>
      </c>
      <c r="C48" s="12" t="s">
        <v>162</v>
      </c>
      <c r="D48" s="12" t="s">
        <v>163</v>
      </c>
      <c r="E48" s="12" t="s">
        <v>31</v>
      </c>
      <c r="F48" s="12" t="s">
        <v>32</v>
      </c>
      <c r="G48" s="12" t="s">
        <v>33</v>
      </c>
      <c r="H48" s="12">
        <v>4</v>
      </c>
      <c r="I48" s="14">
        <v>59.99</v>
      </c>
      <c r="J48" s="12" t="s">
        <v>20</v>
      </c>
      <c r="K48" s="12" t="s">
        <v>63</v>
      </c>
      <c r="L48" s="12" t="s">
        <v>36</v>
      </c>
      <c r="M48" s="13">
        <v>44435</v>
      </c>
      <c r="N48" s="1">
        <v>239.96</v>
      </c>
      <c r="O48" s="12" t="str">
        <f>TEXT(B48,"mmm-yyyy")</f>
        <v>Jun-2024</v>
      </c>
      <c r="P48" s="13">
        <f>EOMONTH(B48,0)</f>
        <v>45473</v>
      </c>
      <c r="Q48" s="12">
        <f ca="1">DATEDIF(M48,TODAY(),"y")</f>
        <v>5</v>
      </c>
      <c r="R48" s="15">
        <f ca="1">NOW()</f>
        <v>46282.345924652778</v>
      </c>
      <c r="S48" s="12" t="str">
        <f>UPPER(LEFT(D48,1)&amp;LEFT(RIGHT(D48,LEN(D48)-FIND(" ",D48)),1))</f>
        <v>JF</v>
      </c>
    </row>
    <row r="49" spans="1:19">
      <c r="A49" s="12" t="s">
        <v>164</v>
      </c>
      <c r="B49" s="13">
        <v>45456</v>
      </c>
      <c r="C49" s="12" t="s">
        <v>129</v>
      </c>
      <c r="D49" s="12" t="s">
        <v>130</v>
      </c>
      <c r="E49" s="12" t="s">
        <v>117</v>
      </c>
      <c r="F49" s="12" t="s">
        <v>118</v>
      </c>
      <c r="G49" s="12" t="s">
        <v>19</v>
      </c>
      <c r="H49" s="12">
        <v>5</v>
      </c>
      <c r="I49" s="14">
        <v>89.99</v>
      </c>
      <c r="J49" s="12" t="s">
        <v>20</v>
      </c>
      <c r="K49" s="12" t="s">
        <v>21</v>
      </c>
      <c r="L49" s="12" t="s">
        <v>27</v>
      </c>
      <c r="M49" s="13">
        <v>44579</v>
      </c>
      <c r="N49" s="1">
        <v>449.95</v>
      </c>
      <c r="O49" s="12" t="str">
        <f>TEXT(B49,"mmm-yyyy")</f>
        <v>Jun-2024</v>
      </c>
      <c r="P49" s="13">
        <f>EOMONTH(B49,0)</f>
        <v>45473</v>
      </c>
      <c r="Q49" s="12">
        <f ca="1">DATEDIF(M49,TODAY(),"y")</f>
        <v>4</v>
      </c>
      <c r="R49" s="15">
        <f ca="1">NOW()</f>
        <v>46282.345924652778</v>
      </c>
      <c r="S49" s="12" t="str">
        <f>UPPER(LEFT(D49,1)&amp;LEFT(RIGHT(D49,LEN(D49)-FIND(" ",D49)),1))</f>
        <v>LA</v>
      </c>
    </row>
    <row r="50" spans="1:19">
      <c r="A50" s="12" t="s">
        <v>165</v>
      </c>
      <c r="B50" s="13">
        <v>45459</v>
      </c>
      <c r="C50" s="12" t="s">
        <v>99</v>
      </c>
      <c r="D50" s="12" t="s">
        <v>100</v>
      </c>
      <c r="E50" s="12" t="s">
        <v>117</v>
      </c>
      <c r="F50" s="12" t="s">
        <v>118</v>
      </c>
      <c r="G50" s="12" t="s">
        <v>19</v>
      </c>
      <c r="H50" s="12">
        <v>2</v>
      </c>
      <c r="I50" s="14">
        <v>89.99</v>
      </c>
      <c r="J50" s="12" t="s">
        <v>26</v>
      </c>
      <c r="K50" s="12" t="s">
        <v>35</v>
      </c>
      <c r="L50" s="12" t="s">
        <v>27</v>
      </c>
      <c r="M50" s="13">
        <v>44471</v>
      </c>
      <c r="N50" s="1">
        <v>179.98</v>
      </c>
      <c r="O50" s="12" t="str">
        <f>TEXT(B50,"mmm-yyyy")</f>
        <v>Jun-2024</v>
      </c>
      <c r="P50" s="13">
        <f>EOMONTH(B50,0)</f>
        <v>45473</v>
      </c>
      <c r="Q50" s="12">
        <f ca="1">DATEDIF(M50,TODAY(),"y")</f>
        <v>4</v>
      </c>
      <c r="R50" s="15">
        <f ca="1">NOW()</f>
        <v>46282.345924652778</v>
      </c>
      <c r="S50" s="12" t="str">
        <f>UPPER(LEFT(D50,1)&amp;LEFT(RIGHT(D50,LEN(D50)-FIND(" ",D50)),1))</f>
        <v>PM</v>
      </c>
    </row>
    <row r="51" spans="1:19">
      <c r="A51" s="12" t="s">
        <v>166</v>
      </c>
      <c r="B51" s="13">
        <v>45459</v>
      </c>
      <c r="C51" s="12" t="s">
        <v>15</v>
      </c>
      <c r="D51" s="12" t="s">
        <v>16</v>
      </c>
      <c r="E51" s="12" t="s">
        <v>61</v>
      </c>
      <c r="F51" s="12" t="s">
        <v>62</v>
      </c>
      <c r="G51" s="12" t="s">
        <v>19</v>
      </c>
      <c r="H51" s="12">
        <v>5</v>
      </c>
      <c r="I51" s="14">
        <v>899.99</v>
      </c>
      <c r="J51" s="12" t="s">
        <v>26</v>
      </c>
      <c r="K51" s="12" t="s">
        <v>35</v>
      </c>
      <c r="L51" s="12" t="s">
        <v>36</v>
      </c>
      <c r="M51" s="13">
        <v>44974</v>
      </c>
      <c r="N51" s="1">
        <v>4499.95</v>
      </c>
      <c r="O51" s="12" t="str">
        <f>TEXT(B51,"mmm-yyyy")</f>
        <v>Jun-2024</v>
      </c>
      <c r="P51" s="13">
        <f>EOMONTH(B51,0)</f>
        <v>45473</v>
      </c>
      <c r="Q51" s="12">
        <f ca="1">DATEDIF(M51,TODAY(),"y")</f>
        <v>3</v>
      </c>
      <c r="R51" s="15">
        <f ca="1">NOW()</f>
        <v>46282.345924652778</v>
      </c>
      <c r="S51" s="12" t="str">
        <f>UPPER(LEFT(D51,1)&amp;LEFT(RIGHT(D51,LEN(D51)-FIND(" ",D51)),1))</f>
        <v>PB</v>
      </c>
    </row>
    <row r="52" spans="1:19">
      <c r="A52" s="12" t="s">
        <v>167</v>
      </c>
      <c r="B52" s="13">
        <v>45459</v>
      </c>
      <c r="C52" s="12" t="s">
        <v>123</v>
      </c>
      <c r="D52" s="12" t="s">
        <v>124</v>
      </c>
      <c r="E52" s="12" t="s">
        <v>61</v>
      </c>
      <c r="F52" s="12" t="s">
        <v>62</v>
      </c>
      <c r="G52" s="12" t="s">
        <v>19</v>
      </c>
      <c r="H52" s="12">
        <v>5</v>
      </c>
      <c r="I52" s="14">
        <v>899.99</v>
      </c>
      <c r="J52" s="12" t="s">
        <v>34</v>
      </c>
      <c r="K52" s="12" t="s">
        <v>63</v>
      </c>
      <c r="L52" s="12" t="s">
        <v>27</v>
      </c>
      <c r="M52" s="13">
        <v>45278</v>
      </c>
      <c r="N52" s="1">
        <v>4499.95</v>
      </c>
      <c r="O52" s="12" t="str">
        <f>TEXT(B52,"mmm-yyyy")</f>
        <v>Jun-2024</v>
      </c>
      <c r="P52" s="13">
        <f>EOMONTH(B52,0)</f>
        <v>45473</v>
      </c>
      <c r="Q52" s="12">
        <f ca="1">DATEDIF(M52,TODAY(),"y")</f>
        <v>2</v>
      </c>
      <c r="R52" s="15">
        <f ca="1">NOW()</f>
        <v>46282.345924652778</v>
      </c>
      <c r="S52" s="12" t="str">
        <f>UPPER(LEFT(D52,1)&amp;LEFT(RIGHT(D52,LEN(D52)-FIND(" ",D52)),1))</f>
        <v>EM</v>
      </c>
    </row>
    <row r="53" spans="1:19">
      <c r="A53" s="12" t="s">
        <v>168</v>
      </c>
      <c r="B53" s="13">
        <v>45460</v>
      </c>
      <c r="C53" s="12" t="s">
        <v>158</v>
      </c>
      <c r="D53" s="12" t="s">
        <v>159</v>
      </c>
      <c r="E53" s="12" t="s">
        <v>31</v>
      </c>
      <c r="F53" s="12" t="s">
        <v>32</v>
      </c>
      <c r="G53" s="12" t="s">
        <v>33</v>
      </c>
      <c r="H53" s="12">
        <v>1</v>
      </c>
      <c r="I53" s="14">
        <v>59.99</v>
      </c>
      <c r="J53" s="12" t="s">
        <v>57</v>
      </c>
      <c r="K53" s="12" t="s">
        <v>50</v>
      </c>
      <c r="L53" s="12" t="s">
        <v>27</v>
      </c>
      <c r="M53" s="13">
        <v>45190</v>
      </c>
      <c r="N53" s="1">
        <v>59.99</v>
      </c>
      <c r="O53" s="12" t="str">
        <f>TEXT(B53,"mmm-yyyy")</f>
        <v>Jun-2024</v>
      </c>
      <c r="P53" s="13">
        <f>EOMONTH(B53,0)</f>
        <v>45473</v>
      </c>
      <c r="Q53" s="12">
        <f ca="1">DATEDIF(M53,TODAY(),"y")</f>
        <v>2</v>
      </c>
      <c r="R53" s="15">
        <f ca="1">NOW()</f>
        <v>46282.345924652778</v>
      </c>
      <c r="S53" s="12" t="str">
        <f>UPPER(LEFT(D53,1)&amp;LEFT(RIGHT(D53,LEN(D53)-FIND(" ",D53)),1))</f>
        <v>BC</v>
      </c>
    </row>
    <row r="54" spans="1:19">
      <c r="A54" s="12" t="s">
        <v>169</v>
      </c>
      <c r="B54" s="13">
        <v>45460</v>
      </c>
      <c r="C54" s="12" t="s">
        <v>141</v>
      </c>
      <c r="D54" s="12" t="s">
        <v>142</v>
      </c>
      <c r="E54" s="12" t="s">
        <v>105</v>
      </c>
      <c r="F54" s="12" t="s">
        <v>106</v>
      </c>
      <c r="G54" s="12" t="s">
        <v>46</v>
      </c>
      <c r="H54" s="12">
        <v>2</v>
      </c>
      <c r="I54" s="14">
        <v>299.99</v>
      </c>
      <c r="J54" s="12" t="s">
        <v>57</v>
      </c>
      <c r="K54" s="12" t="s">
        <v>63</v>
      </c>
      <c r="L54" s="12" t="s">
        <v>36</v>
      </c>
      <c r="M54" s="13">
        <v>45253</v>
      </c>
      <c r="N54" s="1">
        <v>599.98</v>
      </c>
      <c r="O54" s="12" t="str">
        <f>TEXT(B54,"mmm-yyyy")</f>
        <v>Jun-2024</v>
      </c>
      <c r="P54" s="13">
        <f>EOMONTH(B54,0)</f>
        <v>45473</v>
      </c>
      <c r="Q54" s="12">
        <f ca="1">DATEDIF(M54,TODAY(),"y")</f>
        <v>2</v>
      </c>
      <c r="R54" s="15">
        <f ca="1">NOW()</f>
        <v>46282.345924652778</v>
      </c>
      <c r="S54" s="12" t="str">
        <f>UPPER(LEFT(D54,1)&amp;LEFT(RIGHT(D54,LEN(D54)-FIND(" ",D54)),1))</f>
        <v>JT</v>
      </c>
    </row>
    <row r="55" spans="1:19">
      <c r="A55" s="12" t="s">
        <v>170</v>
      </c>
      <c r="B55" s="13">
        <v>45468</v>
      </c>
      <c r="C55" s="12" t="s">
        <v>171</v>
      </c>
      <c r="D55" s="12" t="s">
        <v>172</v>
      </c>
      <c r="E55" s="12" t="s">
        <v>117</v>
      </c>
      <c r="F55" s="12" t="s">
        <v>118</v>
      </c>
      <c r="G55" s="12" t="s">
        <v>19</v>
      </c>
      <c r="H55" s="12">
        <v>4</v>
      </c>
      <c r="I55" s="14">
        <v>89.99</v>
      </c>
      <c r="J55" s="12" t="s">
        <v>57</v>
      </c>
      <c r="K55" s="12" t="s">
        <v>35</v>
      </c>
      <c r="L55" s="12" t="s">
        <v>22</v>
      </c>
      <c r="M55" s="13">
        <v>45281</v>
      </c>
      <c r="N55" s="1">
        <v>359.96</v>
      </c>
      <c r="O55" s="12" t="str">
        <f>TEXT(B55,"mmm-yyyy")</f>
        <v>Jun-2024</v>
      </c>
      <c r="P55" s="13">
        <f>EOMONTH(B55,0)</f>
        <v>45473</v>
      </c>
      <c r="Q55" s="12">
        <f ca="1">DATEDIF(M55,TODAY(),"y")</f>
        <v>2</v>
      </c>
      <c r="R55" s="15">
        <f ca="1">NOW()</f>
        <v>46282.345924652778</v>
      </c>
      <c r="S55" s="12" t="str">
        <f>UPPER(LEFT(D55,1)&amp;LEFT(RIGHT(D55,LEN(D55)-FIND(" ",D55)),1))</f>
        <v>RR</v>
      </c>
    </row>
    <row r="56" spans="1:19">
      <c r="A56" s="12" t="s">
        <v>173</v>
      </c>
      <c r="B56" s="13">
        <v>45469</v>
      </c>
      <c r="C56" s="12" t="s">
        <v>29</v>
      </c>
      <c r="D56" s="12" t="s">
        <v>30</v>
      </c>
      <c r="E56" s="12" t="s">
        <v>114</v>
      </c>
      <c r="F56" s="12" t="s">
        <v>115</v>
      </c>
      <c r="G56" s="12" t="s">
        <v>33</v>
      </c>
      <c r="H56" s="12">
        <v>1</v>
      </c>
      <c r="I56" s="14">
        <v>79.989999999999995</v>
      </c>
      <c r="J56" s="12" t="s">
        <v>34</v>
      </c>
      <c r="K56" s="12" t="s">
        <v>21</v>
      </c>
      <c r="L56" s="12" t="s">
        <v>27</v>
      </c>
      <c r="M56" s="13">
        <v>45352</v>
      </c>
      <c r="N56" s="1">
        <v>79.989999999999995</v>
      </c>
      <c r="O56" s="12" t="str">
        <f>TEXT(B56,"mmm-yyyy")</f>
        <v>Jun-2024</v>
      </c>
      <c r="P56" s="13">
        <f>EOMONTH(B56,0)</f>
        <v>45473</v>
      </c>
      <c r="Q56" s="12">
        <f ca="1">DATEDIF(M56,TODAY(),"y")</f>
        <v>2</v>
      </c>
      <c r="R56" s="15">
        <f ca="1">NOW()</f>
        <v>46282.345924652778</v>
      </c>
      <c r="S56" s="12" t="str">
        <f>UPPER(LEFT(D56,1)&amp;LEFT(RIGHT(D56,LEN(D56)-FIND(" ",D56)),1))</f>
        <v>KS</v>
      </c>
    </row>
    <row r="57" spans="1:19">
      <c r="A57" s="12" t="s">
        <v>174</v>
      </c>
      <c r="B57" s="13">
        <v>45469</v>
      </c>
      <c r="C57" s="12" t="s">
        <v>59</v>
      </c>
      <c r="D57" s="12" t="s">
        <v>60</v>
      </c>
      <c r="E57" s="12" t="s">
        <v>117</v>
      </c>
      <c r="F57" s="12" t="s">
        <v>118</v>
      </c>
      <c r="G57" s="12" t="s">
        <v>19</v>
      </c>
      <c r="H57" s="12">
        <v>2</v>
      </c>
      <c r="I57" s="14">
        <v>89.99</v>
      </c>
      <c r="J57" s="12" t="s">
        <v>20</v>
      </c>
      <c r="K57" s="12" t="s">
        <v>50</v>
      </c>
      <c r="L57" s="12" t="s">
        <v>22</v>
      </c>
      <c r="M57" s="13">
        <v>44438</v>
      </c>
      <c r="N57" s="1">
        <v>179.98</v>
      </c>
      <c r="O57" s="12" t="str">
        <f>TEXT(B57,"mmm-yyyy")</f>
        <v>Jun-2024</v>
      </c>
      <c r="P57" s="13">
        <f>EOMONTH(B57,0)</f>
        <v>45473</v>
      </c>
      <c r="Q57" s="12">
        <f ca="1">DATEDIF(M57,TODAY(),"y")</f>
        <v>5</v>
      </c>
      <c r="R57" s="15">
        <f ca="1">NOW()</f>
        <v>46282.345924652778</v>
      </c>
      <c r="S57" s="12" t="str">
        <f>UPPER(LEFT(D57,1)&amp;LEFT(RIGHT(D57,LEN(D57)-FIND(" ",D57)),1))</f>
        <v>RT</v>
      </c>
    </row>
    <row r="58" spans="1:19">
      <c r="A58" s="12" t="s">
        <v>175</v>
      </c>
      <c r="B58" s="13">
        <v>45471</v>
      </c>
      <c r="C58" s="12" t="s">
        <v>38</v>
      </c>
      <c r="D58" s="12" t="s">
        <v>39</v>
      </c>
      <c r="E58" s="12" t="s">
        <v>80</v>
      </c>
      <c r="F58" s="12" t="s">
        <v>81</v>
      </c>
      <c r="G58" s="12" t="s">
        <v>19</v>
      </c>
      <c r="H58" s="12">
        <v>3</v>
      </c>
      <c r="I58" s="14">
        <v>699.99</v>
      </c>
      <c r="J58" s="12" t="s">
        <v>26</v>
      </c>
      <c r="K58" s="12" t="s">
        <v>63</v>
      </c>
      <c r="L58" s="12" t="s">
        <v>27</v>
      </c>
      <c r="M58" s="13">
        <v>45102</v>
      </c>
      <c r="N58" s="1">
        <v>2099.9699999999998</v>
      </c>
      <c r="O58" s="12" t="str">
        <f>TEXT(B58,"mmm-yyyy")</f>
        <v>Jun-2024</v>
      </c>
      <c r="P58" s="13">
        <f>EOMONTH(B58,0)</f>
        <v>45473</v>
      </c>
      <c r="Q58" s="12">
        <f ca="1">DATEDIF(M58,TODAY(),"y")</f>
        <v>3</v>
      </c>
      <c r="R58" s="15">
        <f ca="1">NOW()</f>
        <v>46282.345924652778</v>
      </c>
      <c r="S58" s="12" t="str">
        <f>UPPER(LEFT(D58,1)&amp;LEFT(RIGHT(D58,LEN(D58)-FIND(" ",D58)),1))</f>
        <v>KB</v>
      </c>
    </row>
    <row r="59" spans="1:19">
      <c r="A59" s="12" t="s">
        <v>176</v>
      </c>
      <c r="B59" s="13">
        <v>45471</v>
      </c>
      <c r="C59" s="12" t="s">
        <v>99</v>
      </c>
      <c r="D59" s="12" t="s">
        <v>100</v>
      </c>
      <c r="E59" s="12" t="s">
        <v>61</v>
      </c>
      <c r="F59" s="12" t="s">
        <v>62</v>
      </c>
      <c r="G59" s="12" t="s">
        <v>19</v>
      </c>
      <c r="H59" s="12">
        <v>4</v>
      </c>
      <c r="I59" s="14">
        <v>899.99</v>
      </c>
      <c r="J59" s="12" t="s">
        <v>26</v>
      </c>
      <c r="K59" s="12" t="s">
        <v>63</v>
      </c>
      <c r="L59" s="12" t="s">
        <v>27</v>
      </c>
      <c r="M59" s="13">
        <v>44993</v>
      </c>
      <c r="N59" s="1">
        <v>3599.96</v>
      </c>
      <c r="O59" s="12" t="str">
        <f>TEXT(B59,"mmm-yyyy")</f>
        <v>Jun-2024</v>
      </c>
      <c r="P59" s="13">
        <f>EOMONTH(B59,0)</f>
        <v>45473</v>
      </c>
      <c r="Q59" s="12">
        <f ca="1">DATEDIF(M59,TODAY(),"y")</f>
        <v>3</v>
      </c>
      <c r="R59" s="15">
        <f ca="1">NOW()</f>
        <v>46282.345924652778</v>
      </c>
      <c r="S59" s="12" t="str">
        <f>UPPER(LEFT(D59,1)&amp;LEFT(RIGHT(D59,LEN(D59)-FIND(" ",D59)),1))</f>
        <v>PM</v>
      </c>
    </row>
    <row r="60" spans="1:19">
      <c r="A60" s="12" t="s">
        <v>177</v>
      </c>
      <c r="B60" s="13">
        <v>45472</v>
      </c>
      <c r="C60" s="12" t="s">
        <v>120</v>
      </c>
      <c r="D60" s="12" t="s">
        <v>121</v>
      </c>
      <c r="E60" s="12" t="s">
        <v>44</v>
      </c>
      <c r="F60" s="12" t="s">
        <v>45</v>
      </c>
      <c r="G60" s="12" t="s">
        <v>46</v>
      </c>
      <c r="H60" s="12">
        <v>1</v>
      </c>
      <c r="I60" s="14">
        <v>149.99</v>
      </c>
      <c r="J60" s="12" t="s">
        <v>34</v>
      </c>
      <c r="K60" s="12" t="s">
        <v>63</v>
      </c>
      <c r="L60" s="12" t="s">
        <v>22</v>
      </c>
      <c r="M60" s="13">
        <v>44851</v>
      </c>
      <c r="N60" s="1">
        <v>149.99</v>
      </c>
      <c r="O60" s="12" t="str">
        <f>TEXT(B60,"mmm-yyyy")</f>
        <v>Jun-2024</v>
      </c>
      <c r="P60" s="13">
        <f>EOMONTH(B60,0)</f>
        <v>45473</v>
      </c>
      <c r="Q60" s="12">
        <f ca="1">DATEDIF(M60,TODAY(),"y")</f>
        <v>3</v>
      </c>
      <c r="R60" s="15">
        <f ca="1">NOW()</f>
        <v>46282.345924652778</v>
      </c>
      <c r="S60" s="12" t="str">
        <f>UPPER(LEFT(D60,1)&amp;LEFT(RIGHT(D60,LEN(D60)-FIND(" ",D60)),1))</f>
        <v>HR</v>
      </c>
    </row>
    <row r="61" spans="1:19">
      <c r="A61" s="12" t="s">
        <v>178</v>
      </c>
      <c r="B61" s="13">
        <v>45474</v>
      </c>
      <c r="C61" s="12" t="s">
        <v>132</v>
      </c>
      <c r="D61" s="12" t="s">
        <v>133</v>
      </c>
      <c r="E61" s="12" t="s">
        <v>117</v>
      </c>
      <c r="F61" s="12" t="s">
        <v>118</v>
      </c>
      <c r="G61" s="12" t="s">
        <v>19</v>
      </c>
      <c r="H61" s="12">
        <v>2</v>
      </c>
      <c r="I61" s="14">
        <v>89.99</v>
      </c>
      <c r="J61" s="12" t="s">
        <v>34</v>
      </c>
      <c r="K61" s="12" t="s">
        <v>21</v>
      </c>
      <c r="L61" s="12" t="s">
        <v>27</v>
      </c>
      <c r="M61" s="13">
        <v>45275</v>
      </c>
      <c r="N61" s="1">
        <v>179.98</v>
      </c>
      <c r="O61" s="12" t="str">
        <f>TEXT(B61,"mmm-yyyy")</f>
        <v>Jul-2024</v>
      </c>
      <c r="P61" s="13">
        <f>EOMONTH(B61,0)</f>
        <v>45504</v>
      </c>
      <c r="Q61" s="12">
        <f ca="1">DATEDIF(M61,TODAY(),"y")</f>
        <v>2</v>
      </c>
      <c r="R61" s="15">
        <f ca="1">NOW()</f>
        <v>46282.345924652778</v>
      </c>
      <c r="S61" s="12" t="str">
        <f>UPPER(LEFT(D61,1)&amp;LEFT(RIGHT(D61,LEN(D61)-FIND(" ",D61)),1))</f>
        <v>EW</v>
      </c>
    </row>
    <row r="62" spans="1:19">
      <c r="A62" s="12" t="s">
        <v>179</v>
      </c>
      <c r="B62" s="13">
        <v>45475</v>
      </c>
      <c r="C62" s="12" t="s">
        <v>55</v>
      </c>
      <c r="D62" s="12" t="s">
        <v>56</v>
      </c>
      <c r="E62" s="12" t="s">
        <v>117</v>
      </c>
      <c r="F62" s="12" t="s">
        <v>118</v>
      </c>
      <c r="G62" s="12" t="s">
        <v>19</v>
      </c>
      <c r="H62" s="12">
        <v>1</v>
      </c>
      <c r="I62" s="14">
        <v>89.99</v>
      </c>
      <c r="J62" s="12" t="s">
        <v>34</v>
      </c>
      <c r="K62" s="12" t="s">
        <v>50</v>
      </c>
      <c r="L62" s="12" t="s">
        <v>36</v>
      </c>
      <c r="M62" s="13">
        <v>44802</v>
      </c>
      <c r="N62" s="1">
        <v>89.99</v>
      </c>
      <c r="O62" s="12" t="str">
        <f>TEXT(B62,"mmm-yyyy")</f>
        <v>Jul-2024</v>
      </c>
      <c r="P62" s="13">
        <f>EOMONTH(B62,0)</f>
        <v>45504</v>
      </c>
      <c r="Q62" s="12">
        <f ca="1">DATEDIF(M62,TODAY(),"y")</f>
        <v>4</v>
      </c>
      <c r="R62" s="15">
        <f ca="1">NOW()</f>
        <v>46282.345924652778</v>
      </c>
      <c r="S62" s="12" t="str">
        <f>UPPER(LEFT(D62,1)&amp;LEFT(RIGHT(D62,LEN(D62)-FIND(" ",D62)),1))</f>
        <v>CA</v>
      </c>
    </row>
    <row r="63" spans="1:19">
      <c r="A63" s="12" t="s">
        <v>180</v>
      </c>
      <c r="B63" s="13">
        <v>45476</v>
      </c>
      <c r="C63" s="12" t="s">
        <v>68</v>
      </c>
      <c r="D63" s="12" t="s">
        <v>69</v>
      </c>
      <c r="E63" s="12" t="s">
        <v>117</v>
      </c>
      <c r="F63" s="12" t="s">
        <v>118</v>
      </c>
      <c r="G63" s="12" t="s">
        <v>19</v>
      </c>
      <c r="H63" s="12">
        <v>1</v>
      </c>
      <c r="I63" s="14">
        <v>89.99</v>
      </c>
      <c r="J63" s="12" t="s">
        <v>20</v>
      </c>
      <c r="K63" s="12" t="s">
        <v>35</v>
      </c>
      <c r="L63" s="12" t="s">
        <v>36</v>
      </c>
      <c r="M63" s="13">
        <v>44611</v>
      </c>
      <c r="N63" s="1">
        <v>89.99</v>
      </c>
      <c r="O63" s="12" t="str">
        <f>TEXT(B63,"mmm-yyyy")</f>
        <v>Jul-2024</v>
      </c>
      <c r="P63" s="13">
        <f>EOMONTH(B63,0)</f>
        <v>45504</v>
      </c>
      <c r="Q63" s="12">
        <f ca="1">DATEDIF(M63,TODAY(),"y")</f>
        <v>4</v>
      </c>
      <c r="R63" s="15">
        <f ca="1">NOW()</f>
        <v>46282.345924652778</v>
      </c>
      <c r="S63" s="12" t="str">
        <f>UPPER(LEFT(D63,1)&amp;LEFT(RIGHT(D63,LEN(D63)-FIND(" ",D63)),1))</f>
        <v>SG</v>
      </c>
    </row>
    <row r="64" spans="1:19">
      <c r="A64" s="12" t="s">
        <v>181</v>
      </c>
      <c r="B64" s="13">
        <v>45476</v>
      </c>
      <c r="C64" s="12" t="s">
        <v>182</v>
      </c>
      <c r="D64" s="12" t="s">
        <v>183</v>
      </c>
      <c r="E64" s="12" t="s">
        <v>114</v>
      </c>
      <c r="F64" s="12" t="s">
        <v>115</v>
      </c>
      <c r="G64" s="12" t="s">
        <v>33</v>
      </c>
      <c r="H64" s="12">
        <v>5</v>
      </c>
      <c r="I64" s="14">
        <v>79.989999999999995</v>
      </c>
      <c r="J64" s="12" t="s">
        <v>57</v>
      </c>
      <c r="K64" s="12" t="s">
        <v>21</v>
      </c>
      <c r="L64" s="12" t="s">
        <v>22</v>
      </c>
      <c r="M64" s="13">
        <v>44981</v>
      </c>
      <c r="N64" s="1">
        <v>399.95</v>
      </c>
      <c r="O64" s="12" t="str">
        <f>TEXT(B64,"mmm-yyyy")</f>
        <v>Jul-2024</v>
      </c>
      <c r="P64" s="13">
        <f>EOMONTH(B64,0)</f>
        <v>45504</v>
      </c>
      <c r="Q64" s="12">
        <f ca="1">DATEDIF(M64,TODAY(),"y")</f>
        <v>3</v>
      </c>
      <c r="R64" s="15">
        <f ca="1">NOW()</f>
        <v>46282.345924652778</v>
      </c>
      <c r="S64" s="12" t="str">
        <f>UPPER(LEFT(D64,1)&amp;LEFT(RIGHT(D64,LEN(D64)-FIND(" ",D64)),1))</f>
        <v>DM</v>
      </c>
    </row>
    <row r="65" spans="1:19">
      <c r="A65" s="12" t="s">
        <v>184</v>
      </c>
      <c r="B65" s="13">
        <v>45481</v>
      </c>
      <c r="C65" s="12" t="s">
        <v>185</v>
      </c>
      <c r="D65" s="12" t="s">
        <v>186</v>
      </c>
      <c r="E65" s="12" t="s">
        <v>44</v>
      </c>
      <c r="F65" s="12" t="s">
        <v>45</v>
      </c>
      <c r="G65" s="12" t="s">
        <v>46</v>
      </c>
      <c r="H65" s="12">
        <v>1</v>
      </c>
      <c r="I65" s="14">
        <v>149.99</v>
      </c>
      <c r="J65" s="12" t="s">
        <v>34</v>
      </c>
      <c r="K65" s="12" t="s">
        <v>40</v>
      </c>
      <c r="L65" s="12" t="s">
        <v>22</v>
      </c>
      <c r="M65" s="13">
        <v>44421</v>
      </c>
      <c r="N65" s="1">
        <v>149.99</v>
      </c>
      <c r="O65" s="12" t="str">
        <f>TEXT(B65,"mmm-yyyy")</f>
        <v>Jul-2024</v>
      </c>
      <c r="P65" s="13">
        <f>EOMONTH(B65,0)</f>
        <v>45504</v>
      </c>
      <c r="Q65" s="12">
        <f ca="1">DATEDIF(M65,TODAY(),"y")</f>
        <v>5</v>
      </c>
      <c r="R65" s="15">
        <f ca="1">NOW()</f>
        <v>46282.345924652778</v>
      </c>
      <c r="S65" s="12" t="str">
        <f>UPPER(LEFT(D65,1)&amp;LEFT(RIGHT(D65,LEN(D65)-FIND(" ",D65)),1))</f>
        <v>MW</v>
      </c>
    </row>
    <row r="66" spans="1:19">
      <c r="A66" s="12" t="s">
        <v>187</v>
      </c>
      <c r="B66" s="13">
        <v>45481</v>
      </c>
      <c r="C66" s="12" t="s">
        <v>42</v>
      </c>
      <c r="D66" s="12" t="s">
        <v>43</v>
      </c>
      <c r="E66" s="12" t="s">
        <v>80</v>
      </c>
      <c r="F66" s="12" t="s">
        <v>81</v>
      </c>
      <c r="G66" s="12" t="s">
        <v>19</v>
      </c>
      <c r="H66" s="12">
        <v>2</v>
      </c>
      <c r="I66" s="14">
        <v>699.99</v>
      </c>
      <c r="J66" s="12" t="s">
        <v>34</v>
      </c>
      <c r="K66" s="12" t="s">
        <v>63</v>
      </c>
      <c r="L66" s="12" t="s">
        <v>27</v>
      </c>
      <c r="M66" s="13">
        <v>45389</v>
      </c>
      <c r="N66" s="1">
        <v>1399.98</v>
      </c>
      <c r="O66" s="12" t="str">
        <f>TEXT(B66,"mmm-yyyy")</f>
        <v>Jul-2024</v>
      </c>
      <c r="P66" s="13">
        <f>EOMONTH(B66,0)</f>
        <v>45504</v>
      </c>
      <c r="Q66" s="12">
        <f ca="1">DATEDIF(M66,TODAY(),"y")</f>
        <v>2</v>
      </c>
      <c r="R66" s="15">
        <f ca="1">NOW()</f>
        <v>46282.345924652778</v>
      </c>
      <c r="S66" s="12" t="str">
        <f>UPPER(LEFT(D66,1)&amp;LEFT(RIGHT(D66,LEN(D66)-FIND(" ",D66)),1))</f>
        <v>MB</v>
      </c>
    </row>
    <row r="67" spans="1:19">
      <c r="A67" s="12" t="s">
        <v>188</v>
      </c>
      <c r="B67" s="13">
        <v>45481</v>
      </c>
      <c r="C67" s="12" t="s">
        <v>96</v>
      </c>
      <c r="D67" s="12" t="s">
        <v>97</v>
      </c>
      <c r="E67" s="12" t="s">
        <v>117</v>
      </c>
      <c r="F67" s="12" t="s">
        <v>118</v>
      </c>
      <c r="G67" s="12" t="s">
        <v>19</v>
      </c>
      <c r="H67" s="12">
        <v>5</v>
      </c>
      <c r="I67" s="14">
        <v>89.99</v>
      </c>
      <c r="J67" s="12" t="s">
        <v>57</v>
      </c>
      <c r="K67" s="12" t="s">
        <v>40</v>
      </c>
      <c r="L67" s="12" t="s">
        <v>27</v>
      </c>
      <c r="M67" s="13">
        <v>45161</v>
      </c>
      <c r="N67" s="1">
        <v>449.95</v>
      </c>
      <c r="O67" s="12" t="str">
        <f>TEXT(B67,"mmm-yyyy")</f>
        <v>Jul-2024</v>
      </c>
      <c r="P67" s="13">
        <f>EOMONTH(B67,0)</f>
        <v>45504</v>
      </c>
      <c r="Q67" s="12">
        <f ca="1">DATEDIF(M67,TODAY(),"y")</f>
        <v>3</v>
      </c>
      <c r="R67" s="15">
        <f ca="1">NOW()</f>
        <v>46282.345924652778</v>
      </c>
      <c r="S67" s="12" t="str">
        <f>UPPER(LEFT(D67,1)&amp;LEFT(RIGHT(D67,LEN(D67)-FIND(" ",D67)),1))</f>
        <v>BY</v>
      </c>
    </row>
    <row r="68" spans="1:19">
      <c r="A68" s="12" t="s">
        <v>189</v>
      </c>
      <c r="B68" s="13">
        <v>45482</v>
      </c>
      <c r="C68" s="12" t="s">
        <v>171</v>
      </c>
      <c r="D68" s="12" t="s">
        <v>172</v>
      </c>
      <c r="E68" s="12" t="s">
        <v>31</v>
      </c>
      <c r="F68" s="12" t="s">
        <v>32</v>
      </c>
      <c r="G68" s="12" t="s">
        <v>33</v>
      </c>
      <c r="H68" s="12">
        <v>4</v>
      </c>
      <c r="I68" s="14">
        <v>59.99</v>
      </c>
      <c r="J68" s="12" t="s">
        <v>20</v>
      </c>
      <c r="K68" s="12" t="s">
        <v>35</v>
      </c>
      <c r="L68" s="12" t="s">
        <v>36</v>
      </c>
      <c r="M68" s="13">
        <v>44509</v>
      </c>
      <c r="N68" s="1">
        <v>239.96</v>
      </c>
      <c r="O68" s="12" t="str">
        <f>TEXT(B68,"mmm-yyyy")</f>
        <v>Jul-2024</v>
      </c>
      <c r="P68" s="13">
        <f>EOMONTH(B68,0)</f>
        <v>45504</v>
      </c>
      <c r="Q68" s="12">
        <f ca="1">DATEDIF(M68,TODAY(),"y")</f>
        <v>4</v>
      </c>
      <c r="R68" s="15">
        <f ca="1">NOW()</f>
        <v>46282.345924652778</v>
      </c>
      <c r="S68" s="12" t="str">
        <f>UPPER(LEFT(D68,1)&amp;LEFT(RIGHT(D68,LEN(D68)-FIND(" ",D68)),1))</f>
        <v>RR</v>
      </c>
    </row>
    <row r="69" spans="1:19">
      <c r="A69" s="12" t="s">
        <v>190</v>
      </c>
      <c r="B69" s="13">
        <v>45484</v>
      </c>
      <c r="C69" s="12" t="s">
        <v>24</v>
      </c>
      <c r="D69" s="12" t="s">
        <v>25</v>
      </c>
      <c r="E69" s="12" t="s">
        <v>52</v>
      </c>
      <c r="F69" s="12" t="s">
        <v>53</v>
      </c>
      <c r="G69" s="12" t="s">
        <v>19</v>
      </c>
      <c r="H69" s="12">
        <v>1</v>
      </c>
      <c r="I69" s="14">
        <v>149.99</v>
      </c>
      <c r="J69" s="12" t="s">
        <v>20</v>
      </c>
      <c r="K69" s="12" t="s">
        <v>21</v>
      </c>
      <c r="L69" s="12" t="s">
        <v>36</v>
      </c>
      <c r="M69" s="13">
        <v>44909</v>
      </c>
      <c r="N69" s="1">
        <v>149.99</v>
      </c>
      <c r="O69" s="12" t="str">
        <f>TEXT(B69,"mmm-yyyy")</f>
        <v>Jul-2024</v>
      </c>
      <c r="P69" s="13">
        <f>EOMONTH(B69,0)</f>
        <v>45504</v>
      </c>
      <c r="Q69" s="12">
        <f ca="1">DATEDIF(M69,TODAY(),"y")</f>
        <v>3</v>
      </c>
      <c r="R69" s="15">
        <f ca="1">NOW()</f>
        <v>46282.345924652778</v>
      </c>
      <c r="S69" s="12" t="str">
        <f>UPPER(LEFT(D69,1)&amp;LEFT(RIGHT(D69,LEN(D69)-FIND(" ",D69)),1))</f>
        <v>JJ</v>
      </c>
    </row>
    <row r="70" spans="1:19">
      <c r="A70" s="12" t="s">
        <v>191</v>
      </c>
      <c r="B70" s="13">
        <v>45484</v>
      </c>
      <c r="C70" s="12" t="s">
        <v>192</v>
      </c>
      <c r="D70" s="12" t="s">
        <v>193</v>
      </c>
      <c r="E70" s="12" t="s">
        <v>105</v>
      </c>
      <c r="F70" s="12" t="s">
        <v>106</v>
      </c>
      <c r="G70" s="12" t="s">
        <v>46</v>
      </c>
      <c r="H70" s="12">
        <v>1</v>
      </c>
      <c r="I70" s="14">
        <v>299.99</v>
      </c>
      <c r="J70" s="12" t="s">
        <v>26</v>
      </c>
      <c r="K70" s="12" t="s">
        <v>40</v>
      </c>
      <c r="L70" s="12" t="s">
        <v>27</v>
      </c>
      <c r="M70" s="13">
        <v>44891</v>
      </c>
      <c r="N70" s="1">
        <v>299.99</v>
      </c>
      <c r="O70" s="12" t="str">
        <f>TEXT(B70,"mmm-yyyy")</f>
        <v>Jul-2024</v>
      </c>
      <c r="P70" s="13">
        <f>EOMONTH(B70,0)</f>
        <v>45504</v>
      </c>
      <c r="Q70" s="12">
        <f ca="1">DATEDIF(M70,TODAY(),"y")</f>
        <v>3</v>
      </c>
      <c r="R70" s="15">
        <f ca="1">NOW()</f>
        <v>46282.345924652778</v>
      </c>
      <c r="S70" s="12" t="str">
        <f>UPPER(LEFT(D70,1)&amp;LEFT(RIGHT(D70,LEN(D70)-FIND(" ",D70)),1))</f>
        <v>FT</v>
      </c>
    </row>
    <row r="71" spans="1:19">
      <c r="A71" s="12" t="s">
        <v>194</v>
      </c>
      <c r="B71" s="13">
        <v>45487</v>
      </c>
      <c r="C71" s="12" t="s">
        <v>192</v>
      </c>
      <c r="D71" s="12" t="s">
        <v>193</v>
      </c>
      <c r="E71" s="12" t="s">
        <v>126</v>
      </c>
      <c r="F71" s="12" t="s">
        <v>127</v>
      </c>
      <c r="G71" s="12" t="s">
        <v>46</v>
      </c>
      <c r="H71" s="12">
        <v>2</v>
      </c>
      <c r="I71" s="14">
        <v>199.99</v>
      </c>
      <c r="J71" s="12" t="s">
        <v>20</v>
      </c>
      <c r="K71" s="12" t="s">
        <v>40</v>
      </c>
      <c r="L71" s="12" t="s">
        <v>22</v>
      </c>
      <c r="M71" s="13">
        <v>44541</v>
      </c>
      <c r="N71" s="1">
        <v>399.98</v>
      </c>
      <c r="O71" s="12" t="str">
        <f>TEXT(B71,"mmm-yyyy")</f>
        <v>Jul-2024</v>
      </c>
      <c r="P71" s="13">
        <f>EOMONTH(B71,0)</f>
        <v>45504</v>
      </c>
      <c r="Q71" s="12">
        <f ca="1">DATEDIF(M71,TODAY(),"y")</f>
        <v>4</v>
      </c>
      <c r="R71" s="15">
        <f ca="1">NOW()</f>
        <v>46282.345924652778</v>
      </c>
      <c r="S71" s="12" t="str">
        <f>UPPER(LEFT(D71,1)&amp;LEFT(RIGHT(D71,LEN(D71)-FIND(" ",D71)),1))</f>
        <v>FT</v>
      </c>
    </row>
    <row r="72" spans="1:19">
      <c r="A72" s="12" t="s">
        <v>195</v>
      </c>
      <c r="B72" s="13">
        <v>45490</v>
      </c>
      <c r="C72" s="12" t="s">
        <v>196</v>
      </c>
      <c r="D72" s="12" t="s">
        <v>197</v>
      </c>
      <c r="E72" s="12" t="s">
        <v>31</v>
      </c>
      <c r="F72" s="12" t="s">
        <v>32</v>
      </c>
      <c r="G72" s="12" t="s">
        <v>33</v>
      </c>
      <c r="H72" s="12">
        <v>3</v>
      </c>
      <c r="I72" s="14">
        <v>59.99</v>
      </c>
      <c r="J72" s="12" t="s">
        <v>26</v>
      </c>
      <c r="K72" s="12" t="s">
        <v>50</v>
      </c>
      <c r="L72" s="12" t="s">
        <v>22</v>
      </c>
      <c r="M72" s="13">
        <v>45130</v>
      </c>
      <c r="N72" s="1">
        <v>179.97</v>
      </c>
      <c r="O72" s="12" t="str">
        <f>TEXT(B72,"mmm-yyyy")</f>
        <v>Jul-2024</v>
      </c>
      <c r="P72" s="13">
        <f>EOMONTH(B72,0)</f>
        <v>45504</v>
      </c>
      <c r="Q72" s="12">
        <f ca="1">DATEDIF(M72,TODAY(),"y")</f>
        <v>3</v>
      </c>
      <c r="R72" s="15">
        <f ca="1">NOW()</f>
        <v>46282.345924652778</v>
      </c>
      <c r="S72" s="12" t="str">
        <f>UPPER(LEFT(D72,1)&amp;LEFT(RIGHT(D72,LEN(D72)-FIND(" ",D72)),1))</f>
        <v>GM</v>
      </c>
    </row>
    <row r="73" spans="1:19">
      <c r="A73" s="12" t="s">
        <v>198</v>
      </c>
      <c r="B73" s="13">
        <v>45490</v>
      </c>
      <c r="C73" s="12" t="s">
        <v>72</v>
      </c>
      <c r="D73" s="12" t="s">
        <v>73</v>
      </c>
      <c r="E73" s="12" t="s">
        <v>44</v>
      </c>
      <c r="F73" s="12" t="s">
        <v>45</v>
      </c>
      <c r="G73" s="12" t="s">
        <v>46</v>
      </c>
      <c r="H73" s="12">
        <v>3</v>
      </c>
      <c r="I73" s="14">
        <v>149.99</v>
      </c>
      <c r="J73" s="12" t="s">
        <v>20</v>
      </c>
      <c r="K73" s="12" t="s">
        <v>21</v>
      </c>
      <c r="L73" s="12" t="s">
        <v>27</v>
      </c>
      <c r="M73" s="13">
        <v>45199</v>
      </c>
      <c r="N73" s="1">
        <v>449.97</v>
      </c>
      <c r="O73" s="12" t="str">
        <f>TEXT(B73,"mmm-yyyy")</f>
        <v>Jul-2024</v>
      </c>
      <c r="P73" s="13">
        <f>EOMONTH(B73,0)</f>
        <v>45504</v>
      </c>
      <c r="Q73" s="12">
        <f ca="1">DATEDIF(M73,TODAY(),"y")</f>
        <v>2</v>
      </c>
      <c r="R73" s="15">
        <f ca="1">NOW()</f>
        <v>46282.345924652778</v>
      </c>
      <c r="S73" s="12" t="str">
        <f>UPPER(LEFT(D73,1)&amp;LEFT(RIGHT(D73,LEN(D73)-FIND(" ",D73)),1))</f>
        <v>PR</v>
      </c>
    </row>
    <row r="74" spans="1:19">
      <c r="A74" s="12" t="s">
        <v>199</v>
      </c>
      <c r="B74" s="13">
        <v>45491</v>
      </c>
      <c r="C74" s="12" t="s">
        <v>65</v>
      </c>
      <c r="D74" s="12" t="s">
        <v>66</v>
      </c>
      <c r="E74" s="12" t="s">
        <v>126</v>
      </c>
      <c r="F74" s="12" t="s">
        <v>127</v>
      </c>
      <c r="G74" s="12" t="s">
        <v>46</v>
      </c>
      <c r="H74" s="12">
        <v>3</v>
      </c>
      <c r="I74" s="14">
        <v>199.99</v>
      </c>
      <c r="J74" s="12" t="s">
        <v>20</v>
      </c>
      <c r="K74" s="12" t="s">
        <v>40</v>
      </c>
      <c r="L74" s="12" t="s">
        <v>27</v>
      </c>
      <c r="M74" s="13">
        <v>45254</v>
      </c>
      <c r="N74" s="1">
        <v>599.97</v>
      </c>
      <c r="O74" s="12" t="str">
        <f>TEXT(B74,"mmm-yyyy")</f>
        <v>Jul-2024</v>
      </c>
      <c r="P74" s="13">
        <f>EOMONTH(B74,0)</f>
        <v>45504</v>
      </c>
      <c r="Q74" s="12">
        <f ca="1">DATEDIF(M74,TODAY(),"y")</f>
        <v>2</v>
      </c>
      <c r="R74" s="15">
        <f ca="1">NOW()</f>
        <v>46282.345924652778</v>
      </c>
      <c r="S74" s="12" t="str">
        <f>UPPER(LEFT(D74,1)&amp;LEFT(RIGHT(D74,LEN(D74)-FIND(" ",D74)),1))</f>
        <v>KH</v>
      </c>
    </row>
    <row r="75" spans="1:19">
      <c r="A75" s="12" t="s">
        <v>200</v>
      </c>
      <c r="B75" s="13">
        <v>45496</v>
      </c>
      <c r="C75" s="12" t="s">
        <v>150</v>
      </c>
      <c r="D75" s="12" t="s">
        <v>151</v>
      </c>
      <c r="E75" s="12" t="s">
        <v>61</v>
      </c>
      <c r="F75" s="12" t="s">
        <v>62</v>
      </c>
      <c r="G75" s="12" t="s">
        <v>19</v>
      </c>
      <c r="H75" s="12">
        <v>1</v>
      </c>
      <c r="I75" s="14">
        <v>899.99</v>
      </c>
      <c r="J75" s="12" t="s">
        <v>20</v>
      </c>
      <c r="K75" s="12" t="s">
        <v>21</v>
      </c>
      <c r="L75" s="12" t="s">
        <v>36</v>
      </c>
      <c r="M75" s="13">
        <v>45179</v>
      </c>
      <c r="N75" s="1">
        <v>899.99</v>
      </c>
      <c r="O75" s="12" t="str">
        <f>TEXT(B75,"mmm-yyyy")</f>
        <v>Jul-2024</v>
      </c>
      <c r="P75" s="13">
        <f>EOMONTH(B75,0)</f>
        <v>45504</v>
      </c>
      <c r="Q75" s="12">
        <f ca="1">DATEDIF(M75,TODAY(),"y")</f>
        <v>3</v>
      </c>
      <c r="R75" s="15">
        <f ca="1">NOW()</f>
        <v>46282.345924652778</v>
      </c>
      <c r="S75" s="12" t="str">
        <f>UPPER(LEFT(D75,1)&amp;LEFT(RIGHT(D75,LEN(D75)-FIND(" ",D75)),1))</f>
        <v>SB</v>
      </c>
    </row>
    <row r="76" spans="1:19">
      <c r="A76" s="12" t="s">
        <v>201</v>
      </c>
      <c r="B76" s="13">
        <v>45497</v>
      </c>
      <c r="C76" s="12" t="s">
        <v>24</v>
      </c>
      <c r="D76" s="12" t="s">
        <v>25</v>
      </c>
      <c r="E76" s="12" t="s">
        <v>61</v>
      </c>
      <c r="F76" s="12" t="s">
        <v>62</v>
      </c>
      <c r="G76" s="12" t="s">
        <v>19</v>
      </c>
      <c r="H76" s="12">
        <v>5</v>
      </c>
      <c r="I76" s="14">
        <v>899.99</v>
      </c>
      <c r="J76" s="12" t="s">
        <v>57</v>
      </c>
      <c r="K76" s="12" t="s">
        <v>35</v>
      </c>
      <c r="L76" s="12" t="s">
        <v>36</v>
      </c>
      <c r="M76" s="13">
        <v>44899</v>
      </c>
      <c r="N76" s="1">
        <v>4499.95</v>
      </c>
      <c r="O76" s="12" t="str">
        <f>TEXT(B76,"mmm-yyyy")</f>
        <v>Jul-2024</v>
      </c>
      <c r="P76" s="13">
        <f>EOMONTH(B76,0)</f>
        <v>45504</v>
      </c>
      <c r="Q76" s="12">
        <f ca="1">DATEDIF(M76,TODAY(),"y")</f>
        <v>3</v>
      </c>
      <c r="R76" s="15">
        <f ca="1">NOW()</f>
        <v>46282.345924652778</v>
      </c>
      <c r="S76" s="12" t="str">
        <f>UPPER(LEFT(D76,1)&amp;LEFT(RIGHT(D76,LEN(D76)-FIND(" ",D76)),1))</f>
        <v>JJ</v>
      </c>
    </row>
    <row r="77" spans="1:19">
      <c r="A77" s="12" t="s">
        <v>202</v>
      </c>
      <c r="B77" s="13">
        <v>45498</v>
      </c>
      <c r="C77" s="12" t="s">
        <v>182</v>
      </c>
      <c r="D77" s="12" t="s">
        <v>183</v>
      </c>
      <c r="E77" s="12" t="s">
        <v>31</v>
      </c>
      <c r="F77" s="12" t="s">
        <v>32</v>
      </c>
      <c r="G77" s="12" t="s">
        <v>33</v>
      </c>
      <c r="H77" s="12">
        <v>2</v>
      </c>
      <c r="I77" s="14">
        <v>59.99</v>
      </c>
      <c r="J77" s="12" t="s">
        <v>20</v>
      </c>
      <c r="K77" s="12" t="s">
        <v>40</v>
      </c>
      <c r="L77" s="12" t="s">
        <v>36</v>
      </c>
      <c r="M77" s="13">
        <v>45152</v>
      </c>
      <c r="N77" s="1">
        <v>119.98</v>
      </c>
      <c r="O77" s="12" t="str">
        <f>TEXT(B77,"mmm-yyyy")</f>
        <v>Jul-2024</v>
      </c>
      <c r="P77" s="13">
        <f>EOMONTH(B77,0)</f>
        <v>45504</v>
      </c>
      <c r="Q77" s="12">
        <f ca="1">DATEDIF(M77,TODAY(),"y")</f>
        <v>3</v>
      </c>
      <c r="R77" s="15">
        <f ca="1">NOW()</f>
        <v>46282.345924652778</v>
      </c>
      <c r="S77" s="12" t="str">
        <f>UPPER(LEFT(D77,1)&amp;LEFT(RIGHT(D77,LEN(D77)-FIND(" ",D77)),1))</f>
        <v>DM</v>
      </c>
    </row>
    <row r="78" spans="1:19">
      <c r="A78" s="12" t="s">
        <v>203</v>
      </c>
      <c r="B78" s="13">
        <v>45498</v>
      </c>
      <c r="C78" s="12" t="s">
        <v>196</v>
      </c>
      <c r="D78" s="12" t="s">
        <v>197</v>
      </c>
      <c r="E78" s="12" t="s">
        <v>17</v>
      </c>
      <c r="F78" s="12" t="s">
        <v>18</v>
      </c>
      <c r="G78" s="12" t="s">
        <v>19</v>
      </c>
      <c r="H78" s="12">
        <v>4</v>
      </c>
      <c r="I78" s="14">
        <v>249.99</v>
      </c>
      <c r="J78" s="12" t="s">
        <v>57</v>
      </c>
      <c r="K78" s="12" t="s">
        <v>21</v>
      </c>
      <c r="L78" s="12" t="s">
        <v>36</v>
      </c>
      <c r="M78" s="13">
        <v>45127</v>
      </c>
      <c r="N78" s="1">
        <v>999.96</v>
      </c>
      <c r="O78" s="12" t="str">
        <f>TEXT(B78,"mmm-yyyy")</f>
        <v>Jul-2024</v>
      </c>
      <c r="P78" s="13">
        <f>EOMONTH(B78,0)</f>
        <v>45504</v>
      </c>
      <c r="Q78" s="12">
        <f ca="1">DATEDIF(M78,TODAY(),"y")</f>
        <v>3</v>
      </c>
      <c r="R78" s="15">
        <f ca="1">NOW()</f>
        <v>46282.345924652778</v>
      </c>
      <c r="S78" s="12" t="str">
        <f>UPPER(LEFT(D78,1)&amp;LEFT(RIGHT(D78,LEN(D78)-FIND(" ",D78)),1))</f>
        <v>GM</v>
      </c>
    </row>
    <row r="79" spans="1:19">
      <c r="A79" s="12" t="s">
        <v>204</v>
      </c>
      <c r="B79" s="13">
        <v>45500</v>
      </c>
      <c r="C79" s="12" t="s">
        <v>96</v>
      </c>
      <c r="D79" s="12" t="s">
        <v>97</v>
      </c>
      <c r="E79" s="12" t="s">
        <v>17</v>
      </c>
      <c r="F79" s="12" t="s">
        <v>18</v>
      </c>
      <c r="G79" s="12" t="s">
        <v>19</v>
      </c>
      <c r="H79" s="12">
        <v>2</v>
      </c>
      <c r="I79" s="14">
        <v>249.99</v>
      </c>
      <c r="J79" s="12" t="s">
        <v>20</v>
      </c>
      <c r="K79" s="12" t="s">
        <v>40</v>
      </c>
      <c r="L79" s="12" t="s">
        <v>27</v>
      </c>
      <c r="M79" s="13">
        <v>45164</v>
      </c>
      <c r="N79" s="1">
        <v>499.98</v>
      </c>
      <c r="O79" s="12" t="str">
        <f>TEXT(B79,"mmm-yyyy")</f>
        <v>Jul-2024</v>
      </c>
      <c r="P79" s="13">
        <f>EOMONTH(B79,0)</f>
        <v>45504</v>
      </c>
      <c r="Q79" s="12">
        <f ca="1">DATEDIF(M79,TODAY(),"y")</f>
        <v>3</v>
      </c>
      <c r="R79" s="15">
        <f ca="1">NOW()</f>
        <v>46282.345924652778</v>
      </c>
      <c r="S79" s="12" t="str">
        <f>UPPER(LEFT(D79,1)&amp;LEFT(RIGHT(D79,LEN(D79)-FIND(" ",D79)),1))</f>
        <v>BY</v>
      </c>
    </row>
    <row r="80" spans="1:19">
      <c r="A80" s="12" t="s">
        <v>205</v>
      </c>
      <c r="B80" s="13">
        <v>45500</v>
      </c>
      <c r="C80" s="12" t="s">
        <v>147</v>
      </c>
      <c r="D80" s="12" t="s">
        <v>148</v>
      </c>
      <c r="E80" s="12" t="s">
        <v>105</v>
      </c>
      <c r="F80" s="12" t="s">
        <v>106</v>
      </c>
      <c r="G80" s="12" t="s">
        <v>46</v>
      </c>
      <c r="H80" s="12">
        <v>1</v>
      </c>
      <c r="I80" s="14">
        <v>299.99</v>
      </c>
      <c r="J80" s="12" t="s">
        <v>20</v>
      </c>
      <c r="K80" s="12" t="s">
        <v>35</v>
      </c>
      <c r="L80" s="12" t="s">
        <v>22</v>
      </c>
      <c r="M80" s="13">
        <v>44982</v>
      </c>
      <c r="N80" s="1">
        <v>299.99</v>
      </c>
      <c r="O80" s="12" t="str">
        <f>TEXT(B80,"mmm-yyyy")</f>
        <v>Jul-2024</v>
      </c>
      <c r="P80" s="13">
        <f>EOMONTH(B80,0)</f>
        <v>45504</v>
      </c>
      <c r="Q80" s="12">
        <f ca="1">DATEDIF(M80,TODAY(),"y")</f>
        <v>3</v>
      </c>
      <c r="R80" s="15">
        <f ca="1">NOW()</f>
        <v>46282.345924652778</v>
      </c>
      <c r="S80" s="12" t="str">
        <f>UPPER(LEFT(D80,1)&amp;LEFT(RIGHT(D80,LEN(D80)-FIND(" ",D80)),1))</f>
        <v>DK</v>
      </c>
    </row>
    <row r="81" spans="1:19">
      <c r="A81" s="12" t="s">
        <v>206</v>
      </c>
      <c r="B81" s="13">
        <v>45501</v>
      </c>
      <c r="C81" s="12" t="s">
        <v>86</v>
      </c>
      <c r="D81" s="12" t="s">
        <v>87</v>
      </c>
      <c r="E81" s="12" t="s">
        <v>117</v>
      </c>
      <c r="F81" s="12" t="s">
        <v>118</v>
      </c>
      <c r="G81" s="12" t="s">
        <v>19</v>
      </c>
      <c r="H81" s="12">
        <v>2</v>
      </c>
      <c r="I81" s="14">
        <v>89.99</v>
      </c>
      <c r="J81" s="12" t="s">
        <v>34</v>
      </c>
      <c r="K81" s="12" t="s">
        <v>35</v>
      </c>
      <c r="L81" s="12" t="s">
        <v>22</v>
      </c>
      <c r="M81" s="13">
        <v>44976</v>
      </c>
      <c r="N81" s="1">
        <v>179.98</v>
      </c>
      <c r="O81" s="12" t="str">
        <f>TEXT(B81,"mmm-yyyy")</f>
        <v>Jul-2024</v>
      </c>
      <c r="P81" s="13">
        <f>EOMONTH(B81,0)</f>
        <v>45504</v>
      </c>
      <c r="Q81" s="12">
        <f ca="1">DATEDIF(M81,TODAY(),"y")</f>
        <v>3</v>
      </c>
      <c r="R81" s="15">
        <f ca="1">NOW()</f>
        <v>46282.345924652778</v>
      </c>
      <c r="S81" s="12" t="str">
        <f>UPPER(LEFT(D81,1)&amp;LEFT(RIGHT(D81,LEN(D81)-FIND(" ",D81)),1))</f>
        <v>MC</v>
      </c>
    </row>
    <row r="82" spans="1:19">
      <c r="A82" s="12" t="s">
        <v>207</v>
      </c>
      <c r="B82" s="13">
        <v>45501</v>
      </c>
      <c r="C82" s="12" t="s">
        <v>147</v>
      </c>
      <c r="D82" s="12" t="s">
        <v>148</v>
      </c>
      <c r="E82" s="12" t="s">
        <v>105</v>
      </c>
      <c r="F82" s="12" t="s">
        <v>106</v>
      </c>
      <c r="G82" s="12" t="s">
        <v>46</v>
      </c>
      <c r="H82" s="12">
        <v>3</v>
      </c>
      <c r="I82" s="14">
        <v>299.99</v>
      </c>
      <c r="J82" s="12" t="s">
        <v>20</v>
      </c>
      <c r="K82" s="12" t="s">
        <v>21</v>
      </c>
      <c r="L82" s="12" t="s">
        <v>22</v>
      </c>
      <c r="M82" s="13">
        <v>44732</v>
      </c>
      <c r="N82" s="1">
        <v>899.97</v>
      </c>
      <c r="O82" s="12" t="str">
        <f>TEXT(B82,"mmm-yyyy")</f>
        <v>Jul-2024</v>
      </c>
      <c r="P82" s="13">
        <f>EOMONTH(B82,0)</f>
        <v>45504</v>
      </c>
      <c r="Q82" s="12">
        <f ca="1">DATEDIF(M82,TODAY(),"y")</f>
        <v>4</v>
      </c>
      <c r="R82" s="15">
        <f ca="1">NOW()</f>
        <v>46282.345924652778</v>
      </c>
      <c r="S82" s="12" t="str">
        <f>UPPER(LEFT(D82,1)&amp;LEFT(RIGHT(D82,LEN(D82)-FIND(" ",D82)),1))</f>
        <v>DK</v>
      </c>
    </row>
    <row r="83" spans="1:19">
      <c r="A83" s="12" t="s">
        <v>208</v>
      </c>
      <c r="B83" s="13">
        <v>45503</v>
      </c>
      <c r="C83" s="12" t="s">
        <v>86</v>
      </c>
      <c r="D83" s="12" t="s">
        <v>87</v>
      </c>
      <c r="E83" s="12" t="s">
        <v>80</v>
      </c>
      <c r="F83" s="12" t="s">
        <v>81</v>
      </c>
      <c r="G83" s="12" t="s">
        <v>19</v>
      </c>
      <c r="H83" s="12">
        <v>2</v>
      </c>
      <c r="I83" s="14">
        <v>699.99</v>
      </c>
      <c r="J83" s="12" t="s">
        <v>26</v>
      </c>
      <c r="K83" s="12" t="s">
        <v>40</v>
      </c>
      <c r="L83" s="12" t="s">
        <v>27</v>
      </c>
      <c r="M83" s="13">
        <v>44999</v>
      </c>
      <c r="N83" s="1">
        <v>1399.98</v>
      </c>
      <c r="O83" s="12" t="str">
        <f>TEXT(B83,"mmm-yyyy")</f>
        <v>Jul-2024</v>
      </c>
      <c r="P83" s="13">
        <f>EOMONTH(B83,0)</f>
        <v>45504</v>
      </c>
      <c r="Q83" s="12">
        <f ca="1">DATEDIF(M83,TODAY(),"y")</f>
        <v>3</v>
      </c>
      <c r="R83" s="15">
        <f ca="1">NOW()</f>
        <v>46282.345924652778</v>
      </c>
      <c r="S83" s="12" t="str">
        <f>UPPER(LEFT(D83,1)&amp;LEFT(RIGHT(D83,LEN(D83)-FIND(" ",D83)),1))</f>
        <v>MC</v>
      </c>
    </row>
    <row r="84" spans="1:19">
      <c r="A84" s="12" t="s">
        <v>209</v>
      </c>
      <c r="B84" s="13">
        <v>45504</v>
      </c>
      <c r="C84" s="12" t="s">
        <v>120</v>
      </c>
      <c r="D84" s="12" t="s">
        <v>121</v>
      </c>
      <c r="E84" s="12" t="s">
        <v>61</v>
      </c>
      <c r="F84" s="12" t="s">
        <v>62</v>
      </c>
      <c r="G84" s="12" t="s">
        <v>19</v>
      </c>
      <c r="H84" s="12">
        <v>4</v>
      </c>
      <c r="I84" s="14">
        <v>899.99</v>
      </c>
      <c r="J84" s="12" t="s">
        <v>57</v>
      </c>
      <c r="K84" s="12" t="s">
        <v>35</v>
      </c>
      <c r="L84" s="12" t="s">
        <v>36</v>
      </c>
      <c r="M84" s="13">
        <v>44523</v>
      </c>
      <c r="N84" s="1">
        <v>3599.96</v>
      </c>
      <c r="O84" s="12" t="str">
        <f>TEXT(B84,"mmm-yyyy")</f>
        <v>Jul-2024</v>
      </c>
      <c r="P84" s="13">
        <f>EOMONTH(B84,0)</f>
        <v>45504</v>
      </c>
      <c r="Q84" s="12">
        <f ca="1">DATEDIF(M84,TODAY(),"y")</f>
        <v>4</v>
      </c>
      <c r="R84" s="15">
        <f ca="1">NOW()</f>
        <v>46282.345924652778</v>
      </c>
      <c r="S84" s="12" t="str">
        <f>UPPER(LEFT(D84,1)&amp;LEFT(RIGHT(D84,LEN(D84)-FIND(" ",D84)),1))</f>
        <v>HR</v>
      </c>
    </row>
    <row r="85" spans="1:19">
      <c r="A85" s="12" t="s">
        <v>210</v>
      </c>
      <c r="B85" s="13">
        <v>45509</v>
      </c>
      <c r="C85" s="12" t="s">
        <v>211</v>
      </c>
      <c r="D85" s="12" t="s">
        <v>212</v>
      </c>
      <c r="E85" s="12" t="s">
        <v>44</v>
      </c>
      <c r="F85" s="12" t="s">
        <v>45</v>
      </c>
      <c r="G85" s="12" t="s">
        <v>46</v>
      </c>
      <c r="H85" s="12">
        <v>2</v>
      </c>
      <c r="I85" s="14">
        <v>149.99</v>
      </c>
      <c r="J85" s="12" t="s">
        <v>26</v>
      </c>
      <c r="K85" s="12" t="s">
        <v>50</v>
      </c>
      <c r="L85" s="12" t="s">
        <v>22</v>
      </c>
      <c r="M85" s="13">
        <v>44542</v>
      </c>
      <c r="N85" s="1">
        <v>299.98</v>
      </c>
      <c r="O85" s="12" t="str">
        <f>TEXT(B85,"mmm-yyyy")</f>
        <v>Aug-2024</v>
      </c>
      <c r="P85" s="13">
        <f>EOMONTH(B85,0)</f>
        <v>45535</v>
      </c>
      <c r="Q85" s="12">
        <f ca="1">DATEDIF(M85,TODAY(),"y")</f>
        <v>4</v>
      </c>
      <c r="R85" s="15">
        <f ca="1">NOW()</f>
        <v>46282.345924652778</v>
      </c>
      <c r="S85" s="12" t="str">
        <f>UPPER(LEFT(D85,1)&amp;LEFT(RIGHT(D85,LEN(D85)-FIND(" ",D85)),1))</f>
        <v>EH</v>
      </c>
    </row>
    <row r="86" spans="1:19">
      <c r="A86" s="12" t="s">
        <v>213</v>
      </c>
      <c r="B86" s="13">
        <v>45510</v>
      </c>
      <c r="C86" s="12" t="s">
        <v>102</v>
      </c>
      <c r="D86" s="12" t="s">
        <v>103</v>
      </c>
      <c r="E86" s="12" t="s">
        <v>44</v>
      </c>
      <c r="F86" s="12" t="s">
        <v>45</v>
      </c>
      <c r="G86" s="12" t="s">
        <v>46</v>
      </c>
      <c r="H86" s="12">
        <v>2</v>
      </c>
      <c r="I86" s="14">
        <v>149.99</v>
      </c>
      <c r="J86" s="12" t="s">
        <v>57</v>
      </c>
      <c r="K86" s="12" t="s">
        <v>63</v>
      </c>
      <c r="L86" s="12" t="s">
        <v>36</v>
      </c>
      <c r="M86" s="13">
        <v>44667</v>
      </c>
      <c r="N86" s="1">
        <v>299.98</v>
      </c>
      <c r="O86" s="12" t="str">
        <f>TEXT(B86,"mmm-yyyy")</f>
        <v>Aug-2024</v>
      </c>
      <c r="P86" s="13">
        <f>EOMONTH(B86,0)</f>
        <v>45535</v>
      </c>
      <c r="Q86" s="12">
        <f ca="1">DATEDIF(M86,TODAY(),"y")</f>
        <v>4</v>
      </c>
      <c r="R86" s="15">
        <f ca="1">NOW()</f>
        <v>46282.345924652778</v>
      </c>
      <c r="S86" s="12" t="str">
        <f>UPPER(LEFT(D86,1)&amp;LEFT(RIGHT(D86,LEN(D86)-FIND(" ",D86)),1))</f>
        <v>CP</v>
      </c>
    </row>
    <row r="87" spans="1:19">
      <c r="A87" s="12" t="s">
        <v>214</v>
      </c>
      <c r="B87" s="13">
        <v>45513</v>
      </c>
      <c r="C87" s="12" t="s">
        <v>89</v>
      </c>
      <c r="D87" s="12" t="s">
        <v>90</v>
      </c>
      <c r="E87" s="12" t="s">
        <v>117</v>
      </c>
      <c r="F87" s="12" t="s">
        <v>118</v>
      </c>
      <c r="G87" s="12" t="s">
        <v>19</v>
      </c>
      <c r="H87" s="12">
        <v>1</v>
      </c>
      <c r="I87" s="14">
        <v>89.99</v>
      </c>
      <c r="J87" s="12" t="s">
        <v>26</v>
      </c>
      <c r="K87" s="12" t="s">
        <v>40</v>
      </c>
      <c r="L87" s="12" t="s">
        <v>36</v>
      </c>
      <c r="M87" s="13">
        <v>45393</v>
      </c>
      <c r="N87" s="1">
        <v>89.99</v>
      </c>
      <c r="O87" s="12" t="str">
        <f>TEXT(B87,"mmm-yyyy")</f>
        <v>Aug-2024</v>
      </c>
      <c r="P87" s="13">
        <f>EOMONTH(B87,0)</f>
        <v>45535</v>
      </c>
      <c r="Q87" s="12">
        <f ca="1">DATEDIF(M87,TODAY(),"y")</f>
        <v>2</v>
      </c>
      <c r="R87" s="15">
        <f ca="1">NOW()</f>
        <v>46282.345924652778</v>
      </c>
      <c r="S87" s="12" t="str">
        <f>UPPER(LEFT(D87,1)&amp;LEFT(RIGHT(D87,LEN(D87)-FIND(" ",D87)),1))</f>
        <v>MG</v>
      </c>
    </row>
    <row r="88" spans="1:19">
      <c r="A88" s="12" t="s">
        <v>215</v>
      </c>
      <c r="B88" s="13">
        <v>45515</v>
      </c>
      <c r="C88" s="12" t="s">
        <v>86</v>
      </c>
      <c r="D88" s="12" t="s">
        <v>87</v>
      </c>
      <c r="E88" s="12" t="s">
        <v>105</v>
      </c>
      <c r="F88" s="12" t="s">
        <v>106</v>
      </c>
      <c r="G88" s="12" t="s">
        <v>46</v>
      </c>
      <c r="H88" s="12">
        <v>5</v>
      </c>
      <c r="I88" s="14">
        <v>299.99</v>
      </c>
      <c r="J88" s="12" t="s">
        <v>26</v>
      </c>
      <c r="K88" s="12" t="s">
        <v>40</v>
      </c>
      <c r="L88" s="12" t="s">
        <v>22</v>
      </c>
      <c r="M88" s="13">
        <v>44965</v>
      </c>
      <c r="N88" s="1">
        <v>1499.95</v>
      </c>
      <c r="O88" s="12" t="str">
        <f>TEXT(B88,"mmm-yyyy")</f>
        <v>Aug-2024</v>
      </c>
      <c r="P88" s="13">
        <f>EOMONTH(B88,0)</f>
        <v>45535</v>
      </c>
      <c r="Q88" s="12">
        <f ca="1">DATEDIF(M88,TODAY(),"y")</f>
        <v>3</v>
      </c>
      <c r="R88" s="15">
        <f ca="1">NOW()</f>
        <v>46282.345924652778</v>
      </c>
      <c r="S88" s="12" t="str">
        <f>UPPER(LEFT(D88,1)&amp;LEFT(RIGHT(D88,LEN(D88)-FIND(" ",D88)),1))</f>
        <v>MC</v>
      </c>
    </row>
    <row r="89" spans="1:19">
      <c r="A89" s="12" t="s">
        <v>216</v>
      </c>
      <c r="B89" s="13">
        <v>45517</v>
      </c>
      <c r="C89" s="12" t="s">
        <v>182</v>
      </c>
      <c r="D89" s="12" t="s">
        <v>183</v>
      </c>
      <c r="E89" s="12" t="s">
        <v>52</v>
      </c>
      <c r="F89" s="12" t="s">
        <v>53</v>
      </c>
      <c r="G89" s="12" t="s">
        <v>19</v>
      </c>
      <c r="H89" s="12">
        <v>4</v>
      </c>
      <c r="I89" s="14">
        <v>149.99</v>
      </c>
      <c r="J89" s="12" t="s">
        <v>57</v>
      </c>
      <c r="K89" s="12" t="s">
        <v>35</v>
      </c>
      <c r="L89" s="12" t="s">
        <v>27</v>
      </c>
      <c r="M89" s="13">
        <v>44820</v>
      </c>
      <c r="N89" s="1">
        <v>599.96</v>
      </c>
      <c r="O89" s="12" t="str">
        <f>TEXT(B89,"mmm-yyyy")</f>
        <v>Aug-2024</v>
      </c>
      <c r="P89" s="13">
        <f>EOMONTH(B89,0)</f>
        <v>45535</v>
      </c>
      <c r="Q89" s="12">
        <f ca="1">DATEDIF(M89,TODAY(),"y")</f>
        <v>4</v>
      </c>
      <c r="R89" s="15">
        <f ca="1">NOW()</f>
        <v>46282.345924652778</v>
      </c>
      <c r="S89" s="12" t="str">
        <f>UPPER(LEFT(D89,1)&amp;LEFT(RIGHT(D89,LEN(D89)-FIND(" ",D89)),1))</f>
        <v>DM</v>
      </c>
    </row>
    <row r="90" spans="1:19">
      <c r="A90" s="12" t="s">
        <v>217</v>
      </c>
      <c r="B90" s="13">
        <v>45517</v>
      </c>
      <c r="C90" s="12" t="s">
        <v>185</v>
      </c>
      <c r="D90" s="12" t="s">
        <v>186</v>
      </c>
      <c r="E90" s="12" t="s">
        <v>17</v>
      </c>
      <c r="F90" s="12" t="s">
        <v>18</v>
      </c>
      <c r="G90" s="12" t="s">
        <v>19</v>
      </c>
      <c r="H90" s="12">
        <v>5</v>
      </c>
      <c r="I90" s="14">
        <v>249.99</v>
      </c>
      <c r="J90" s="12" t="s">
        <v>34</v>
      </c>
      <c r="K90" s="12" t="s">
        <v>63</v>
      </c>
      <c r="L90" s="12" t="s">
        <v>27</v>
      </c>
      <c r="M90" s="13">
        <v>44782</v>
      </c>
      <c r="N90" s="1">
        <v>1249.95</v>
      </c>
      <c r="O90" s="12" t="str">
        <f>TEXT(B90,"mmm-yyyy")</f>
        <v>Aug-2024</v>
      </c>
      <c r="P90" s="13">
        <f>EOMONTH(B90,0)</f>
        <v>45535</v>
      </c>
      <c r="Q90" s="12">
        <f ca="1">DATEDIF(M90,TODAY(),"y")</f>
        <v>4</v>
      </c>
      <c r="R90" s="15">
        <f ca="1">NOW()</f>
        <v>46282.345924652778</v>
      </c>
      <c r="S90" s="12" t="str">
        <f>UPPER(LEFT(D90,1)&amp;LEFT(RIGHT(D90,LEN(D90)-FIND(" ",D90)),1))</f>
        <v>MW</v>
      </c>
    </row>
    <row r="91" spans="1:19">
      <c r="A91" s="12" t="s">
        <v>218</v>
      </c>
      <c r="B91" s="13">
        <v>45517</v>
      </c>
      <c r="C91" s="12" t="s">
        <v>65</v>
      </c>
      <c r="D91" s="12" t="s">
        <v>66</v>
      </c>
      <c r="E91" s="12" t="s">
        <v>17</v>
      </c>
      <c r="F91" s="12" t="s">
        <v>18</v>
      </c>
      <c r="G91" s="12" t="s">
        <v>19</v>
      </c>
      <c r="H91" s="12">
        <v>3</v>
      </c>
      <c r="I91" s="14">
        <v>249.99</v>
      </c>
      <c r="J91" s="12" t="s">
        <v>34</v>
      </c>
      <c r="K91" s="12" t="s">
        <v>40</v>
      </c>
      <c r="L91" s="12" t="s">
        <v>27</v>
      </c>
      <c r="M91" s="13">
        <v>44465</v>
      </c>
      <c r="N91" s="1">
        <v>749.97</v>
      </c>
      <c r="O91" s="12" t="str">
        <f>TEXT(B91,"mmm-yyyy")</f>
        <v>Aug-2024</v>
      </c>
      <c r="P91" s="13">
        <f>EOMONTH(B91,0)</f>
        <v>45535</v>
      </c>
      <c r="Q91" s="12">
        <f ca="1">DATEDIF(M91,TODAY(),"y")</f>
        <v>4</v>
      </c>
      <c r="R91" s="15">
        <f ca="1">NOW()</f>
        <v>46282.345924652778</v>
      </c>
      <c r="S91" s="12" t="str">
        <f>UPPER(LEFT(D91,1)&amp;LEFT(RIGHT(D91,LEN(D91)-FIND(" ",D91)),1))</f>
        <v>KH</v>
      </c>
    </row>
    <row r="92" spans="1:19">
      <c r="A92" s="12" t="s">
        <v>219</v>
      </c>
      <c r="B92" s="13">
        <v>45517</v>
      </c>
      <c r="C92" s="12" t="s">
        <v>38</v>
      </c>
      <c r="D92" s="12" t="s">
        <v>39</v>
      </c>
      <c r="E92" s="12" t="s">
        <v>126</v>
      </c>
      <c r="F92" s="12" t="s">
        <v>127</v>
      </c>
      <c r="G92" s="12" t="s">
        <v>46</v>
      </c>
      <c r="H92" s="12">
        <v>4</v>
      </c>
      <c r="I92" s="14">
        <v>199.99</v>
      </c>
      <c r="J92" s="12" t="s">
        <v>20</v>
      </c>
      <c r="K92" s="12" t="s">
        <v>40</v>
      </c>
      <c r="L92" s="12" t="s">
        <v>36</v>
      </c>
      <c r="M92" s="13">
        <v>44458</v>
      </c>
      <c r="N92" s="1">
        <v>799.96</v>
      </c>
      <c r="O92" s="12" t="str">
        <f>TEXT(B92,"mmm-yyyy")</f>
        <v>Aug-2024</v>
      </c>
      <c r="P92" s="13">
        <f>EOMONTH(B92,0)</f>
        <v>45535</v>
      </c>
      <c r="Q92" s="12">
        <f ca="1">DATEDIF(M92,TODAY(),"y")</f>
        <v>4</v>
      </c>
      <c r="R92" s="15">
        <f ca="1">NOW()</f>
        <v>46282.345924652778</v>
      </c>
      <c r="S92" s="12" t="str">
        <f>UPPER(LEFT(D92,1)&amp;LEFT(RIGHT(D92,LEN(D92)-FIND(" ",D92)),1))</f>
        <v>KB</v>
      </c>
    </row>
    <row r="93" spans="1:19">
      <c r="A93" s="12" t="s">
        <v>220</v>
      </c>
      <c r="B93" s="13">
        <v>45519</v>
      </c>
      <c r="C93" s="12" t="s">
        <v>158</v>
      </c>
      <c r="D93" s="12" t="s">
        <v>159</v>
      </c>
      <c r="E93" s="12" t="s">
        <v>126</v>
      </c>
      <c r="F93" s="12" t="s">
        <v>127</v>
      </c>
      <c r="G93" s="12" t="s">
        <v>46</v>
      </c>
      <c r="H93" s="12">
        <v>5</v>
      </c>
      <c r="I93" s="14">
        <v>199.99</v>
      </c>
      <c r="J93" s="12" t="s">
        <v>20</v>
      </c>
      <c r="K93" s="12" t="s">
        <v>40</v>
      </c>
      <c r="L93" s="12" t="s">
        <v>27</v>
      </c>
      <c r="M93" s="13">
        <v>44991</v>
      </c>
      <c r="N93" s="1">
        <v>999.95</v>
      </c>
      <c r="O93" s="12" t="str">
        <f>TEXT(B93,"mmm-yyyy")</f>
        <v>Aug-2024</v>
      </c>
      <c r="P93" s="13">
        <f>EOMONTH(B93,0)</f>
        <v>45535</v>
      </c>
      <c r="Q93" s="12">
        <f ca="1">DATEDIF(M93,TODAY(),"y")</f>
        <v>3</v>
      </c>
      <c r="R93" s="15">
        <f ca="1">NOW()</f>
        <v>46282.345924652778</v>
      </c>
      <c r="S93" s="12" t="str">
        <f>UPPER(LEFT(D93,1)&amp;LEFT(RIGHT(D93,LEN(D93)-FIND(" ",D93)),1))</f>
        <v>BC</v>
      </c>
    </row>
    <row r="94" spans="1:19">
      <c r="A94" s="12" t="s">
        <v>221</v>
      </c>
      <c r="B94" s="13">
        <v>45522</v>
      </c>
      <c r="C94" s="12" t="s">
        <v>86</v>
      </c>
      <c r="D94" s="12" t="s">
        <v>87</v>
      </c>
      <c r="E94" s="12" t="s">
        <v>117</v>
      </c>
      <c r="F94" s="12" t="s">
        <v>118</v>
      </c>
      <c r="G94" s="12" t="s">
        <v>19</v>
      </c>
      <c r="H94" s="12">
        <v>2</v>
      </c>
      <c r="I94" s="14">
        <v>89.99</v>
      </c>
      <c r="J94" s="12" t="s">
        <v>20</v>
      </c>
      <c r="K94" s="12" t="s">
        <v>63</v>
      </c>
      <c r="L94" s="12" t="s">
        <v>27</v>
      </c>
      <c r="M94" s="13">
        <v>44972</v>
      </c>
      <c r="N94" s="1">
        <v>179.98</v>
      </c>
      <c r="O94" s="12" t="str">
        <f>TEXT(B94,"mmm-yyyy")</f>
        <v>Aug-2024</v>
      </c>
      <c r="P94" s="13">
        <f>EOMONTH(B94,0)</f>
        <v>45535</v>
      </c>
      <c r="Q94" s="12">
        <f ca="1">DATEDIF(M94,TODAY(),"y")</f>
        <v>3</v>
      </c>
      <c r="R94" s="15">
        <f ca="1">NOW()</f>
        <v>46282.345924652778</v>
      </c>
      <c r="S94" s="12" t="str">
        <f>UPPER(LEFT(D94,1)&amp;LEFT(RIGHT(D94,LEN(D94)-FIND(" ",D94)),1))</f>
        <v>MC</v>
      </c>
    </row>
    <row r="95" spans="1:19">
      <c r="A95" s="12" t="s">
        <v>222</v>
      </c>
      <c r="B95" s="13">
        <v>45523</v>
      </c>
      <c r="C95" s="12" t="s">
        <v>196</v>
      </c>
      <c r="D95" s="12" t="s">
        <v>197</v>
      </c>
      <c r="E95" s="12" t="s">
        <v>61</v>
      </c>
      <c r="F95" s="12" t="s">
        <v>62</v>
      </c>
      <c r="G95" s="12" t="s">
        <v>19</v>
      </c>
      <c r="H95" s="12">
        <v>5</v>
      </c>
      <c r="I95" s="14">
        <v>899.99</v>
      </c>
      <c r="J95" s="12" t="s">
        <v>57</v>
      </c>
      <c r="K95" s="12" t="s">
        <v>63</v>
      </c>
      <c r="L95" s="12" t="s">
        <v>22</v>
      </c>
      <c r="M95" s="13">
        <v>44526</v>
      </c>
      <c r="N95" s="1">
        <v>4499.95</v>
      </c>
      <c r="O95" s="12" t="str">
        <f>TEXT(B95,"mmm-yyyy")</f>
        <v>Aug-2024</v>
      </c>
      <c r="P95" s="13">
        <f>EOMONTH(B95,0)</f>
        <v>45535</v>
      </c>
      <c r="Q95" s="12">
        <f ca="1">DATEDIF(M95,TODAY(),"y")</f>
        <v>4</v>
      </c>
      <c r="R95" s="15">
        <f ca="1">NOW()</f>
        <v>46282.345924652778</v>
      </c>
      <c r="S95" s="12" t="str">
        <f>UPPER(LEFT(D95,1)&amp;LEFT(RIGHT(D95,LEN(D95)-FIND(" ",D95)),1))</f>
        <v>GM</v>
      </c>
    </row>
    <row r="96" spans="1:19">
      <c r="A96" s="12" t="s">
        <v>223</v>
      </c>
      <c r="B96" s="13">
        <v>45523</v>
      </c>
      <c r="C96" s="12" t="s">
        <v>108</v>
      </c>
      <c r="D96" s="12" t="s">
        <v>109</v>
      </c>
      <c r="E96" s="12" t="s">
        <v>52</v>
      </c>
      <c r="F96" s="12" t="s">
        <v>53</v>
      </c>
      <c r="G96" s="12" t="s">
        <v>19</v>
      </c>
      <c r="H96" s="12">
        <v>3</v>
      </c>
      <c r="I96" s="14">
        <v>149.99</v>
      </c>
      <c r="J96" s="12" t="s">
        <v>34</v>
      </c>
      <c r="K96" s="12" t="s">
        <v>63</v>
      </c>
      <c r="L96" s="12" t="s">
        <v>22</v>
      </c>
      <c r="M96" s="13">
        <v>44574</v>
      </c>
      <c r="N96" s="1">
        <v>449.97</v>
      </c>
      <c r="O96" s="12" t="str">
        <f>TEXT(B96,"mmm-yyyy")</f>
        <v>Aug-2024</v>
      </c>
      <c r="P96" s="13">
        <f>EOMONTH(B96,0)</f>
        <v>45535</v>
      </c>
      <c r="Q96" s="12">
        <f ca="1">DATEDIF(M96,TODAY(),"y")</f>
        <v>4</v>
      </c>
      <c r="R96" s="15">
        <f ca="1">NOW()</f>
        <v>46282.345924652778</v>
      </c>
      <c r="S96" s="12" t="str">
        <f>UPPER(LEFT(D96,1)&amp;LEFT(RIGHT(D96,LEN(D96)-FIND(" ",D96)),1))</f>
        <v>NC</v>
      </c>
    </row>
    <row r="97" spans="1:19">
      <c r="A97" s="12" t="s">
        <v>224</v>
      </c>
      <c r="B97" s="13">
        <v>45526</v>
      </c>
      <c r="C97" s="12" t="s">
        <v>102</v>
      </c>
      <c r="D97" s="12" t="s">
        <v>103</v>
      </c>
      <c r="E97" s="12" t="s">
        <v>44</v>
      </c>
      <c r="F97" s="12" t="s">
        <v>45</v>
      </c>
      <c r="G97" s="12" t="s">
        <v>46</v>
      </c>
      <c r="H97" s="12">
        <v>5</v>
      </c>
      <c r="I97" s="14">
        <v>149.99</v>
      </c>
      <c r="J97" s="12" t="s">
        <v>26</v>
      </c>
      <c r="K97" s="12" t="s">
        <v>21</v>
      </c>
      <c r="L97" s="12" t="s">
        <v>22</v>
      </c>
      <c r="M97" s="13">
        <v>45310</v>
      </c>
      <c r="N97" s="1">
        <v>749.95</v>
      </c>
      <c r="O97" s="12" t="str">
        <f>TEXT(B97,"mmm-yyyy")</f>
        <v>Aug-2024</v>
      </c>
      <c r="P97" s="13">
        <f>EOMONTH(B97,0)</f>
        <v>45535</v>
      </c>
      <c r="Q97" s="12">
        <f ca="1">DATEDIF(M97,TODAY(),"y")</f>
        <v>2</v>
      </c>
      <c r="R97" s="15">
        <f ca="1">NOW()</f>
        <v>46282.345924652778</v>
      </c>
      <c r="S97" s="12" t="str">
        <f>UPPER(LEFT(D97,1)&amp;LEFT(RIGHT(D97,LEN(D97)-FIND(" ",D97)),1))</f>
        <v>CP</v>
      </c>
    </row>
    <row r="98" spans="1:19">
      <c r="A98" s="12" t="s">
        <v>225</v>
      </c>
      <c r="B98" s="13">
        <v>45528</v>
      </c>
      <c r="C98" s="12" t="s">
        <v>226</v>
      </c>
      <c r="D98" s="12" t="s">
        <v>227</v>
      </c>
      <c r="E98" s="12" t="s">
        <v>114</v>
      </c>
      <c r="F98" s="12" t="s">
        <v>115</v>
      </c>
      <c r="G98" s="12" t="s">
        <v>33</v>
      </c>
      <c r="H98" s="12">
        <v>3</v>
      </c>
      <c r="I98" s="14">
        <v>79.989999999999995</v>
      </c>
      <c r="J98" s="12" t="s">
        <v>20</v>
      </c>
      <c r="K98" s="12" t="s">
        <v>21</v>
      </c>
      <c r="L98" s="12" t="s">
        <v>27</v>
      </c>
      <c r="M98" s="13">
        <v>44779</v>
      </c>
      <c r="N98" s="1">
        <v>239.97</v>
      </c>
      <c r="O98" s="12" t="str">
        <f>TEXT(B98,"mmm-yyyy")</f>
        <v>Aug-2024</v>
      </c>
      <c r="P98" s="13">
        <f>EOMONTH(B98,0)</f>
        <v>45535</v>
      </c>
      <c r="Q98" s="12">
        <f ca="1">DATEDIF(M98,TODAY(),"y")</f>
        <v>4</v>
      </c>
      <c r="R98" s="15">
        <f ca="1">NOW()</f>
        <v>46282.345924652778</v>
      </c>
      <c r="S98" s="12" t="str">
        <f>UPPER(LEFT(D98,1)&amp;LEFT(RIGHT(D98,LEN(D98)-FIND(" ",D98)),1))</f>
        <v>LR</v>
      </c>
    </row>
    <row r="99" spans="1:19">
      <c r="A99" s="12" t="s">
        <v>228</v>
      </c>
      <c r="B99" s="13">
        <v>45528</v>
      </c>
      <c r="C99" s="12" t="s">
        <v>144</v>
      </c>
      <c r="D99" s="12" t="s">
        <v>145</v>
      </c>
      <c r="E99" s="12" t="s">
        <v>17</v>
      </c>
      <c r="F99" s="12" t="s">
        <v>18</v>
      </c>
      <c r="G99" s="12" t="s">
        <v>19</v>
      </c>
      <c r="H99" s="12">
        <v>2</v>
      </c>
      <c r="I99" s="14">
        <v>249.99</v>
      </c>
      <c r="J99" s="12" t="s">
        <v>20</v>
      </c>
      <c r="K99" s="12" t="s">
        <v>35</v>
      </c>
      <c r="L99" s="12" t="s">
        <v>36</v>
      </c>
      <c r="M99" s="13">
        <v>44572</v>
      </c>
      <c r="N99" s="1">
        <v>499.98</v>
      </c>
      <c r="O99" s="12" t="str">
        <f>TEXT(B99,"mmm-yyyy")</f>
        <v>Aug-2024</v>
      </c>
      <c r="P99" s="13">
        <f>EOMONTH(B99,0)</f>
        <v>45535</v>
      </c>
      <c r="Q99" s="12">
        <f ca="1">DATEDIF(M99,TODAY(),"y")</f>
        <v>4</v>
      </c>
      <c r="R99" s="15">
        <f ca="1">NOW()</f>
        <v>46282.345924652778</v>
      </c>
      <c r="S99" s="12" t="str">
        <f>UPPER(LEFT(D99,1)&amp;LEFT(RIGHT(D99,LEN(D99)-FIND(" ",D99)),1))</f>
        <v>HM</v>
      </c>
    </row>
    <row r="100" spans="1:19">
      <c r="A100" s="12" t="s">
        <v>229</v>
      </c>
      <c r="B100" s="13">
        <v>45532</v>
      </c>
      <c r="C100" s="12" t="s">
        <v>196</v>
      </c>
      <c r="D100" s="12" t="s">
        <v>197</v>
      </c>
      <c r="E100" s="12" t="s">
        <v>80</v>
      </c>
      <c r="F100" s="12" t="s">
        <v>81</v>
      </c>
      <c r="G100" s="12" t="s">
        <v>19</v>
      </c>
      <c r="H100" s="12">
        <v>1</v>
      </c>
      <c r="I100" s="14">
        <v>699.99</v>
      </c>
      <c r="J100" s="12" t="s">
        <v>20</v>
      </c>
      <c r="K100" s="12" t="s">
        <v>21</v>
      </c>
      <c r="L100" s="12" t="s">
        <v>27</v>
      </c>
      <c r="M100" s="13">
        <v>44497</v>
      </c>
      <c r="N100" s="1">
        <v>699.99</v>
      </c>
      <c r="O100" s="12" t="str">
        <f>TEXT(B100,"mmm-yyyy")</f>
        <v>Aug-2024</v>
      </c>
      <c r="P100" s="13">
        <f>EOMONTH(B100,0)</f>
        <v>45535</v>
      </c>
      <c r="Q100" s="12">
        <f ca="1">DATEDIF(M100,TODAY(),"y")</f>
        <v>4</v>
      </c>
      <c r="R100" s="15">
        <f ca="1">NOW()</f>
        <v>46282.345924652778</v>
      </c>
      <c r="S100" s="12" t="str">
        <f>UPPER(LEFT(D100,1)&amp;LEFT(RIGHT(D100,LEN(D100)-FIND(" ",D100)),1))</f>
        <v>GM</v>
      </c>
    </row>
    <row r="101" spans="1:19">
      <c r="A101" s="12" t="s">
        <v>230</v>
      </c>
      <c r="B101" s="13">
        <v>45532</v>
      </c>
      <c r="C101" s="12" t="s">
        <v>231</v>
      </c>
      <c r="D101" s="12" t="s">
        <v>232</v>
      </c>
      <c r="E101" s="12" t="s">
        <v>52</v>
      </c>
      <c r="F101" s="12" t="s">
        <v>53</v>
      </c>
      <c r="G101" s="12" t="s">
        <v>19</v>
      </c>
      <c r="H101" s="12">
        <v>3</v>
      </c>
      <c r="I101" s="14">
        <v>149.99</v>
      </c>
      <c r="J101" s="12" t="s">
        <v>20</v>
      </c>
      <c r="K101" s="12" t="s">
        <v>50</v>
      </c>
      <c r="L101" s="12" t="s">
        <v>27</v>
      </c>
      <c r="M101" s="13">
        <v>45212</v>
      </c>
      <c r="N101" s="1">
        <v>449.97</v>
      </c>
      <c r="O101" s="12" t="str">
        <f>TEXT(B101,"mmm-yyyy")</f>
        <v>Aug-2024</v>
      </c>
      <c r="P101" s="13">
        <f>EOMONTH(B101,0)</f>
        <v>45535</v>
      </c>
      <c r="Q101" s="12">
        <f ca="1">DATEDIF(M101,TODAY(),"y")</f>
        <v>2</v>
      </c>
      <c r="R101" s="15">
        <f ca="1">NOW()</f>
        <v>46282.345924652778</v>
      </c>
      <c r="S101" s="12" t="str">
        <f>UPPER(LEFT(D101,1)&amp;LEFT(RIGHT(D101,LEN(D101)-FIND(" ",D101)),1))</f>
        <v>CE</v>
      </c>
    </row>
    <row r="102" spans="1:19">
      <c r="A102" s="12" t="s">
        <v>233</v>
      </c>
      <c r="B102" s="13">
        <v>45534</v>
      </c>
      <c r="C102" s="12" t="s">
        <v>234</v>
      </c>
      <c r="D102" s="12" t="s">
        <v>235</v>
      </c>
      <c r="E102" s="12" t="s">
        <v>80</v>
      </c>
      <c r="F102" s="12" t="s">
        <v>81</v>
      </c>
      <c r="G102" s="12" t="s">
        <v>19</v>
      </c>
      <c r="H102" s="12">
        <v>2</v>
      </c>
      <c r="I102" s="14">
        <v>699.99</v>
      </c>
      <c r="J102" s="12" t="s">
        <v>26</v>
      </c>
      <c r="K102" s="12" t="s">
        <v>40</v>
      </c>
      <c r="L102" s="12" t="s">
        <v>27</v>
      </c>
      <c r="M102" s="13">
        <v>44421</v>
      </c>
      <c r="N102" s="1">
        <v>1399.98</v>
      </c>
      <c r="O102" s="12" t="str">
        <f>TEXT(B102,"mmm-yyyy")</f>
        <v>Aug-2024</v>
      </c>
      <c r="P102" s="13">
        <f>EOMONTH(B102,0)</f>
        <v>45535</v>
      </c>
      <c r="Q102" s="12">
        <f ca="1">DATEDIF(M102,TODAY(),"y")</f>
        <v>5</v>
      </c>
      <c r="R102" s="15">
        <f ca="1">NOW()</f>
        <v>46282.345924652778</v>
      </c>
      <c r="S102" s="12" t="str">
        <f>UPPER(LEFT(D102,1)&amp;LEFT(RIGHT(D102,LEN(D102)-FIND(" ",D102)),1))</f>
        <v>SP</v>
      </c>
    </row>
    <row r="103" spans="1:19">
      <c r="A103" s="12" t="s">
        <v>236</v>
      </c>
      <c r="B103" s="13">
        <v>45537</v>
      </c>
      <c r="C103" s="12" t="s">
        <v>231</v>
      </c>
      <c r="D103" s="12" t="s">
        <v>232</v>
      </c>
      <c r="E103" s="12" t="s">
        <v>17</v>
      </c>
      <c r="F103" s="12" t="s">
        <v>18</v>
      </c>
      <c r="G103" s="12" t="s">
        <v>19</v>
      </c>
      <c r="H103" s="12">
        <v>1</v>
      </c>
      <c r="I103" s="14">
        <v>249.99</v>
      </c>
      <c r="J103" s="12" t="s">
        <v>26</v>
      </c>
      <c r="K103" s="12" t="s">
        <v>50</v>
      </c>
      <c r="L103" s="12" t="s">
        <v>27</v>
      </c>
      <c r="M103" s="13">
        <v>44685</v>
      </c>
      <c r="N103" s="1">
        <v>249.99</v>
      </c>
      <c r="O103" s="12" t="str">
        <f>TEXT(B103,"mmm-yyyy")</f>
        <v>Sep-2024</v>
      </c>
      <c r="P103" s="13">
        <f>EOMONTH(B103,0)</f>
        <v>45565</v>
      </c>
      <c r="Q103" s="12">
        <f ca="1">DATEDIF(M103,TODAY(),"y")</f>
        <v>4</v>
      </c>
      <c r="R103" s="15">
        <f ca="1">NOW()</f>
        <v>46282.345924652778</v>
      </c>
      <c r="S103" s="12" t="str">
        <f>UPPER(LEFT(D103,1)&amp;LEFT(RIGHT(D103,LEN(D103)-FIND(" ",D103)),1))</f>
        <v>CE</v>
      </c>
    </row>
    <row r="104" spans="1:19">
      <c r="A104" s="12" t="s">
        <v>237</v>
      </c>
      <c r="B104" s="13">
        <v>45537</v>
      </c>
      <c r="C104" s="12" t="s">
        <v>15</v>
      </c>
      <c r="D104" s="12" t="s">
        <v>16</v>
      </c>
      <c r="E104" s="12" t="s">
        <v>17</v>
      </c>
      <c r="F104" s="12" t="s">
        <v>18</v>
      </c>
      <c r="G104" s="12" t="s">
        <v>19</v>
      </c>
      <c r="H104" s="12">
        <v>1</v>
      </c>
      <c r="I104" s="14">
        <v>249.99</v>
      </c>
      <c r="J104" s="12" t="s">
        <v>57</v>
      </c>
      <c r="K104" s="12" t="s">
        <v>40</v>
      </c>
      <c r="L104" s="12" t="s">
        <v>27</v>
      </c>
      <c r="M104" s="13">
        <v>45332</v>
      </c>
      <c r="N104" s="1">
        <v>249.99</v>
      </c>
      <c r="O104" s="12" t="str">
        <f>TEXT(B104,"mmm-yyyy")</f>
        <v>Sep-2024</v>
      </c>
      <c r="P104" s="13">
        <f>EOMONTH(B104,0)</f>
        <v>45565</v>
      </c>
      <c r="Q104" s="12">
        <f ca="1">DATEDIF(M104,TODAY(),"y")</f>
        <v>2</v>
      </c>
      <c r="R104" s="15">
        <f ca="1">NOW()</f>
        <v>46282.345924652778</v>
      </c>
      <c r="S104" s="12" t="str">
        <f>UPPER(LEFT(D104,1)&amp;LEFT(RIGHT(D104,LEN(D104)-FIND(" ",D104)),1))</f>
        <v>PB</v>
      </c>
    </row>
    <row r="105" spans="1:19">
      <c r="A105" s="12" t="s">
        <v>238</v>
      </c>
      <c r="B105" s="13">
        <v>45538</v>
      </c>
      <c r="C105" s="12" t="s">
        <v>226</v>
      </c>
      <c r="D105" s="12" t="s">
        <v>227</v>
      </c>
      <c r="E105" s="12" t="s">
        <v>80</v>
      </c>
      <c r="F105" s="12" t="s">
        <v>81</v>
      </c>
      <c r="G105" s="12" t="s">
        <v>19</v>
      </c>
      <c r="H105" s="12">
        <v>2</v>
      </c>
      <c r="I105" s="14">
        <v>699.99</v>
      </c>
      <c r="J105" s="12" t="s">
        <v>57</v>
      </c>
      <c r="K105" s="12" t="s">
        <v>21</v>
      </c>
      <c r="L105" s="12" t="s">
        <v>27</v>
      </c>
      <c r="M105" s="13">
        <v>44870</v>
      </c>
      <c r="N105" s="1">
        <v>1399.98</v>
      </c>
      <c r="O105" s="12" t="str">
        <f>TEXT(B105,"mmm-yyyy")</f>
        <v>Sep-2024</v>
      </c>
      <c r="P105" s="13">
        <f>EOMONTH(B105,0)</f>
        <v>45565</v>
      </c>
      <c r="Q105" s="12">
        <f ca="1">DATEDIF(M105,TODAY(),"y")</f>
        <v>3</v>
      </c>
      <c r="R105" s="15">
        <f ca="1">NOW()</f>
        <v>46282.345924652778</v>
      </c>
      <c r="S105" s="12" t="str">
        <f>UPPER(LEFT(D105,1)&amp;LEFT(RIGHT(D105,LEN(D105)-FIND(" ",D105)),1))</f>
        <v>LR</v>
      </c>
    </row>
    <row r="106" spans="1:19">
      <c r="A106" s="12" t="s">
        <v>239</v>
      </c>
      <c r="B106" s="13">
        <v>45541</v>
      </c>
      <c r="C106" s="12" t="s">
        <v>138</v>
      </c>
      <c r="D106" s="12" t="s">
        <v>139</v>
      </c>
      <c r="E106" s="12" t="s">
        <v>31</v>
      </c>
      <c r="F106" s="12" t="s">
        <v>32</v>
      </c>
      <c r="G106" s="12" t="s">
        <v>33</v>
      </c>
      <c r="H106" s="12">
        <v>3</v>
      </c>
      <c r="I106" s="14">
        <v>59.99</v>
      </c>
      <c r="J106" s="12" t="s">
        <v>26</v>
      </c>
      <c r="K106" s="12" t="s">
        <v>21</v>
      </c>
      <c r="L106" s="12" t="s">
        <v>27</v>
      </c>
      <c r="M106" s="13">
        <v>44717</v>
      </c>
      <c r="N106" s="1">
        <v>179.97</v>
      </c>
      <c r="O106" s="12" t="str">
        <f>TEXT(B106,"mmm-yyyy")</f>
        <v>Sep-2024</v>
      </c>
      <c r="P106" s="13">
        <f>EOMONTH(B106,0)</f>
        <v>45565</v>
      </c>
      <c r="Q106" s="12">
        <f ca="1">DATEDIF(M106,TODAY(),"y")</f>
        <v>4</v>
      </c>
      <c r="R106" s="15">
        <f ca="1">NOW()</f>
        <v>46282.345924652778</v>
      </c>
      <c r="S106" s="12" t="str">
        <f>UPPER(LEFT(D106,1)&amp;LEFT(RIGHT(D106,LEN(D106)-FIND(" ",D106)),1))</f>
        <v>ST</v>
      </c>
    </row>
    <row r="107" spans="1:19">
      <c r="A107" s="12" t="s">
        <v>240</v>
      </c>
      <c r="B107" s="13">
        <v>45544</v>
      </c>
      <c r="C107" s="12" t="s">
        <v>132</v>
      </c>
      <c r="D107" s="12" t="s">
        <v>133</v>
      </c>
      <c r="E107" s="12" t="s">
        <v>31</v>
      </c>
      <c r="F107" s="12" t="s">
        <v>32</v>
      </c>
      <c r="G107" s="12" t="s">
        <v>33</v>
      </c>
      <c r="H107" s="12">
        <v>3</v>
      </c>
      <c r="I107" s="14">
        <v>59.99</v>
      </c>
      <c r="J107" s="12" t="s">
        <v>34</v>
      </c>
      <c r="K107" s="12" t="s">
        <v>63</v>
      </c>
      <c r="L107" s="12" t="s">
        <v>36</v>
      </c>
      <c r="M107" s="13">
        <v>44748</v>
      </c>
      <c r="N107" s="1">
        <v>179.97</v>
      </c>
      <c r="O107" s="12" t="str">
        <f>TEXT(B107,"mmm-yyyy")</f>
        <v>Sep-2024</v>
      </c>
      <c r="P107" s="13">
        <f>EOMONTH(B107,0)</f>
        <v>45565</v>
      </c>
      <c r="Q107" s="12">
        <f ca="1">DATEDIF(M107,TODAY(),"y")</f>
        <v>4</v>
      </c>
      <c r="R107" s="15">
        <f ca="1">NOW()</f>
        <v>46282.345924652778</v>
      </c>
      <c r="S107" s="12" t="str">
        <f>UPPER(LEFT(D107,1)&amp;LEFT(RIGHT(D107,LEN(D107)-FIND(" ",D107)),1))</f>
        <v>EW</v>
      </c>
    </row>
    <row r="108" spans="1:19">
      <c r="A108" s="12" t="s">
        <v>241</v>
      </c>
      <c r="B108" s="13">
        <v>45544</v>
      </c>
      <c r="C108" s="12" t="s">
        <v>141</v>
      </c>
      <c r="D108" s="12" t="s">
        <v>142</v>
      </c>
      <c r="E108" s="12" t="s">
        <v>114</v>
      </c>
      <c r="F108" s="12" t="s">
        <v>115</v>
      </c>
      <c r="G108" s="12" t="s">
        <v>33</v>
      </c>
      <c r="H108" s="12">
        <v>4</v>
      </c>
      <c r="I108" s="14">
        <v>79.989999999999995</v>
      </c>
      <c r="J108" s="12" t="s">
        <v>20</v>
      </c>
      <c r="K108" s="12" t="s">
        <v>40</v>
      </c>
      <c r="L108" s="12" t="s">
        <v>22</v>
      </c>
      <c r="M108" s="13">
        <v>44530</v>
      </c>
      <c r="N108" s="1">
        <v>319.95999999999998</v>
      </c>
      <c r="O108" s="12" t="str">
        <f>TEXT(B108,"mmm-yyyy")</f>
        <v>Sep-2024</v>
      </c>
      <c r="P108" s="13">
        <f>EOMONTH(B108,0)</f>
        <v>45565</v>
      </c>
      <c r="Q108" s="12">
        <f ca="1">DATEDIF(M108,TODAY(),"y")</f>
        <v>4</v>
      </c>
      <c r="R108" s="15">
        <f ca="1">NOW()</f>
        <v>46282.345924652778</v>
      </c>
      <c r="S108" s="12" t="str">
        <f>UPPER(LEFT(D108,1)&amp;LEFT(RIGHT(D108,LEN(D108)-FIND(" ",D108)),1))</f>
        <v>JT</v>
      </c>
    </row>
    <row r="109" spans="1:19">
      <c r="A109" s="12" t="s">
        <v>242</v>
      </c>
      <c r="B109" s="13">
        <v>45545</v>
      </c>
      <c r="C109" s="12" t="s">
        <v>55</v>
      </c>
      <c r="D109" s="12" t="s">
        <v>56</v>
      </c>
      <c r="E109" s="12" t="s">
        <v>114</v>
      </c>
      <c r="F109" s="12" t="s">
        <v>115</v>
      </c>
      <c r="G109" s="12" t="s">
        <v>33</v>
      </c>
      <c r="H109" s="12">
        <v>1</v>
      </c>
      <c r="I109" s="14">
        <v>79.989999999999995</v>
      </c>
      <c r="J109" s="12" t="s">
        <v>20</v>
      </c>
      <c r="K109" s="12" t="s">
        <v>50</v>
      </c>
      <c r="L109" s="12" t="s">
        <v>22</v>
      </c>
      <c r="M109" s="13">
        <v>44693</v>
      </c>
      <c r="N109" s="1">
        <v>79.989999999999995</v>
      </c>
      <c r="O109" s="12" t="str">
        <f>TEXT(B109,"mmm-yyyy")</f>
        <v>Sep-2024</v>
      </c>
      <c r="P109" s="13">
        <f>EOMONTH(B109,0)</f>
        <v>45565</v>
      </c>
      <c r="Q109" s="12">
        <f ca="1">DATEDIF(M109,TODAY(),"y")</f>
        <v>4</v>
      </c>
      <c r="R109" s="15">
        <f ca="1">NOW()</f>
        <v>46282.345924652778</v>
      </c>
      <c r="S109" s="12" t="str">
        <f>UPPER(LEFT(D109,1)&amp;LEFT(RIGHT(D109,LEN(D109)-FIND(" ",D109)),1))</f>
        <v>CA</v>
      </c>
    </row>
    <row r="110" spans="1:19">
      <c r="A110" s="12" t="s">
        <v>243</v>
      </c>
      <c r="B110" s="13">
        <v>45547</v>
      </c>
      <c r="C110" s="12" t="s">
        <v>48</v>
      </c>
      <c r="D110" s="12" t="s">
        <v>49</v>
      </c>
      <c r="E110" s="12" t="s">
        <v>105</v>
      </c>
      <c r="F110" s="12" t="s">
        <v>106</v>
      </c>
      <c r="G110" s="12" t="s">
        <v>46</v>
      </c>
      <c r="H110" s="12">
        <v>3</v>
      </c>
      <c r="I110" s="14">
        <v>299.99</v>
      </c>
      <c r="J110" s="12" t="s">
        <v>26</v>
      </c>
      <c r="K110" s="12" t="s">
        <v>21</v>
      </c>
      <c r="L110" s="12" t="s">
        <v>27</v>
      </c>
      <c r="M110" s="13">
        <v>44494</v>
      </c>
      <c r="N110" s="1">
        <v>899.97</v>
      </c>
      <c r="O110" s="12" t="str">
        <f>TEXT(B110,"mmm-yyyy")</f>
        <v>Sep-2024</v>
      </c>
      <c r="P110" s="13">
        <f>EOMONTH(B110,0)</f>
        <v>45565</v>
      </c>
      <c r="Q110" s="12">
        <f ca="1">DATEDIF(M110,TODAY(),"y")</f>
        <v>4</v>
      </c>
      <c r="R110" s="15">
        <f ca="1">NOW()</f>
        <v>46282.345924652778</v>
      </c>
      <c r="S110" s="12" t="str">
        <f>UPPER(LEFT(D110,1)&amp;LEFT(RIGHT(D110,LEN(D110)-FIND(" ",D110)),1))</f>
        <v>DN</v>
      </c>
    </row>
    <row r="111" spans="1:19">
      <c r="A111" s="12" t="s">
        <v>244</v>
      </c>
      <c r="B111" s="13">
        <v>45548</v>
      </c>
      <c r="C111" s="12" t="s">
        <v>38</v>
      </c>
      <c r="D111" s="12" t="s">
        <v>39</v>
      </c>
      <c r="E111" s="12" t="s">
        <v>117</v>
      </c>
      <c r="F111" s="12" t="s">
        <v>118</v>
      </c>
      <c r="G111" s="12" t="s">
        <v>19</v>
      </c>
      <c r="H111" s="12">
        <v>2</v>
      </c>
      <c r="I111" s="14">
        <v>89.99</v>
      </c>
      <c r="J111" s="12" t="s">
        <v>26</v>
      </c>
      <c r="K111" s="12" t="s">
        <v>35</v>
      </c>
      <c r="L111" s="12" t="s">
        <v>27</v>
      </c>
      <c r="M111" s="13">
        <v>44641</v>
      </c>
      <c r="N111" s="1">
        <v>179.98</v>
      </c>
      <c r="O111" s="12" t="str">
        <f>TEXT(B111,"mmm-yyyy")</f>
        <v>Sep-2024</v>
      </c>
      <c r="P111" s="13">
        <f>EOMONTH(B111,0)</f>
        <v>45565</v>
      </c>
      <c r="Q111" s="12">
        <f ca="1">DATEDIF(M111,TODAY(),"y")</f>
        <v>4</v>
      </c>
      <c r="R111" s="15">
        <f ca="1">NOW()</f>
        <v>46282.345924652778</v>
      </c>
      <c r="S111" s="12" t="str">
        <f>UPPER(LEFT(D111,1)&amp;LEFT(RIGHT(D111,LEN(D111)-FIND(" ",D111)),1))</f>
        <v>KB</v>
      </c>
    </row>
    <row r="112" spans="1:19">
      <c r="A112" s="12" t="s">
        <v>245</v>
      </c>
      <c r="B112" s="13">
        <v>45550</v>
      </c>
      <c r="C112" s="12" t="s">
        <v>246</v>
      </c>
      <c r="D112" s="12" t="s">
        <v>247</v>
      </c>
      <c r="E112" s="12" t="s">
        <v>52</v>
      </c>
      <c r="F112" s="12" t="s">
        <v>53</v>
      </c>
      <c r="G112" s="12" t="s">
        <v>19</v>
      </c>
      <c r="H112" s="12">
        <v>4</v>
      </c>
      <c r="I112" s="14">
        <v>149.99</v>
      </c>
      <c r="J112" s="12" t="s">
        <v>20</v>
      </c>
      <c r="K112" s="12" t="s">
        <v>40</v>
      </c>
      <c r="L112" s="12" t="s">
        <v>22</v>
      </c>
      <c r="M112" s="13">
        <v>44909</v>
      </c>
      <c r="N112" s="1">
        <v>599.96</v>
      </c>
      <c r="O112" s="12" t="str">
        <f>TEXT(B112,"mmm-yyyy")</f>
        <v>Sep-2024</v>
      </c>
      <c r="P112" s="13">
        <f>EOMONTH(B112,0)</f>
        <v>45565</v>
      </c>
      <c r="Q112" s="12">
        <f ca="1">DATEDIF(M112,TODAY(),"y")</f>
        <v>3</v>
      </c>
      <c r="R112" s="15">
        <f ca="1">NOW()</f>
        <v>46282.345924652778</v>
      </c>
      <c r="S112" s="12" t="str">
        <f>UPPER(LEFT(D112,1)&amp;LEFT(RIGHT(D112,LEN(D112)-FIND(" ",D112)),1))</f>
        <v>RB</v>
      </c>
    </row>
    <row r="113" spans="1:19">
      <c r="A113" s="12" t="s">
        <v>248</v>
      </c>
      <c r="B113" s="13">
        <v>45551</v>
      </c>
      <c r="C113" s="12" t="s">
        <v>65</v>
      </c>
      <c r="D113" s="12" t="s">
        <v>66</v>
      </c>
      <c r="E113" s="12" t="s">
        <v>17</v>
      </c>
      <c r="F113" s="12" t="s">
        <v>18</v>
      </c>
      <c r="G113" s="12" t="s">
        <v>19</v>
      </c>
      <c r="H113" s="12">
        <v>2</v>
      </c>
      <c r="I113" s="14">
        <v>249.99</v>
      </c>
      <c r="J113" s="12" t="s">
        <v>34</v>
      </c>
      <c r="K113" s="12" t="s">
        <v>35</v>
      </c>
      <c r="L113" s="12" t="s">
        <v>22</v>
      </c>
      <c r="M113" s="13">
        <v>44993</v>
      </c>
      <c r="N113" s="1">
        <v>499.98</v>
      </c>
      <c r="O113" s="12" t="str">
        <f>TEXT(B113,"mmm-yyyy")</f>
        <v>Sep-2024</v>
      </c>
      <c r="P113" s="13">
        <f>EOMONTH(B113,0)</f>
        <v>45565</v>
      </c>
      <c r="Q113" s="12">
        <f ca="1">DATEDIF(M113,TODAY(),"y")</f>
        <v>3</v>
      </c>
      <c r="R113" s="15">
        <f ca="1">NOW()</f>
        <v>46282.345924652778</v>
      </c>
      <c r="S113" s="12" t="str">
        <f>UPPER(LEFT(D113,1)&amp;LEFT(RIGHT(D113,LEN(D113)-FIND(" ",D113)),1))</f>
        <v>KH</v>
      </c>
    </row>
    <row r="114" spans="1:19">
      <c r="A114" s="12" t="s">
        <v>249</v>
      </c>
      <c r="B114" s="13">
        <v>45551</v>
      </c>
      <c r="C114" s="12" t="s">
        <v>154</v>
      </c>
      <c r="D114" s="12" t="s">
        <v>155</v>
      </c>
      <c r="E114" s="12" t="s">
        <v>126</v>
      </c>
      <c r="F114" s="12" t="s">
        <v>127</v>
      </c>
      <c r="G114" s="12" t="s">
        <v>46</v>
      </c>
      <c r="H114" s="12">
        <v>4</v>
      </c>
      <c r="I114" s="14">
        <v>199.99</v>
      </c>
      <c r="J114" s="12" t="s">
        <v>57</v>
      </c>
      <c r="K114" s="12" t="s">
        <v>63</v>
      </c>
      <c r="L114" s="12" t="s">
        <v>22</v>
      </c>
      <c r="M114" s="13">
        <v>44458</v>
      </c>
      <c r="N114" s="1">
        <v>799.96</v>
      </c>
      <c r="O114" s="12" t="str">
        <f>TEXT(B114,"mmm-yyyy")</f>
        <v>Sep-2024</v>
      </c>
      <c r="P114" s="13">
        <f>EOMONTH(B114,0)</f>
        <v>45565</v>
      </c>
      <c r="Q114" s="12">
        <f ca="1">DATEDIF(M114,TODAY(),"y")</f>
        <v>4</v>
      </c>
      <c r="R114" s="15">
        <f ca="1">NOW()</f>
        <v>46282.345924652778</v>
      </c>
      <c r="S114" s="12" t="str">
        <f>UPPER(LEFT(D114,1)&amp;LEFT(RIGHT(D114,LEN(D114)-FIND(" ",D114)),1))</f>
        <v>SD</v>
      </c>
    </row>
    <row r="115" spans="1:19">
      <c r="A115" s="12" t="s">
        <v>250</v>
      </c>
      <c r="B115" s="13">
        <v>45554</v>
      </c>
      <c r="C115" s="12" t="s">
        <v>147</v>
      </c>
      <c r="D115" s="12" t="s">
        <v>148</v>
      </c>
      <c r="E115" s="12" t="s">
        <v>117</v>
      </c>
      <c r="F115" s="12" t="s">
        <v>118</v>
      </c>
      <c r="G115" s="12" t="s">
        <v>19</v>
      </c>
      <c r="H115" s="12">
        <v>5</v>
      </c>
      <c r="I115" s="14">
        <v>89.99</v>
      </c>
      <c r="J115" s="12" t="s">
        <v>26</v>
      </c>
      <c r="K115" s="12" t="s">
        <v>63</v>
      </c>
      <c r="L115" s="12" t="s">
        <v>27</v>
      </c>
      <c r="M115" s="13">
        <v>44446</v>
      </c>
      <c r="N115" s="1">
        <v>449.95</v>
      </c>
      <c r="O115" s="12" t="str">
        <f>TEXT(B115,"mmm-yyyy")</f>
        <v>Sep-2024</v>
      </c>
      <c r="P115" s="13">
        <f>EOMONTH(B115,0)</f>
        <v>45565</v>
      </c>
      <c r="Q115" s="12">
        <f ca="1">DATEDIF(M115,TODAY(),"y")</f>
        <v>5</v>
      </c>
      <c r="R115" s="15">
        <f ca="1">NOW()</f>
        <v>46282.345924652778</v>
      </c>
      <c r="S115" s="12" t="str">
        <f>UPPER(LEFT(D115,1)&amp;LEFT(RIGHT(D115,LEN(D115)-FIND(" ",D115)),1))</f>
        <v>DK</v>
      </c>
    </row>
    <row r="116" spans="1:19">
      <c r="A116" s="12" t="s">
        <v>251</v>
      </c>
      <c r="B116" s="13">
        <v>45554</v>
      </c>
      <c r="C116" s="12" t="s">
        <v>252</v>
      </c>
      <c r="D116" s="12" t="s">
        <v>253</v>
      </c>
      <c r="E116" s="12" t="s">
        <v>52</v>
      </c>
      <c r="F116" s="12" t="s">
        <v>53</v>
      </c>
      <c r="G116" s="12" t="s">
        <v>19</v>
      </c>
      <c r="H116" s="12">
        <v>1</v>
      </c>
      <c r="I116" s="14">
        <v>149.99</v>
      </c>
      <c r="J116" s="12" t="s">
        <v>34</v>
      </c>
      <c r="K116" s="12" t="s">
        <v>63</v>
      </c>
      <c r="L116" s="12" t="s">
        <v>36</v>
      </c>
      <c r="M116" s="13">
        <v>44482</v>
      </c>
      <c r="N116" s="1">
        <v>149.99</v>
      </c>
      <c r="O116" s="12" t="str">
        <f>TEXT(B116,"mmm-yyyy")</f>
        <v>Sep-2024</v>
      </c>
      <c r="P116" s="13">
        <f>EOMONTH(B116,0)</f>
        <v>45565</v>
      </c>
      <c r="Q116" s="12">
        <f ca="1">DATEDIF(M116,TODAY(),"y")</f>
        <v>4</v>
      </c>
      <c r="R116" s="15">
        <f ca="1">NOW()</f>
        <v>46282.345924652778</v>
      </c>
      <c r="S116" s="12" t="str">
        <f>UPPER(LEFT(D116,1)&amp;LEFT(RIGHT(D116,LEN(D116)-FIND(" ",D116)),1))</f>
        <v>WW</v>
      </c>
    </row>
    <row r="117" spans="1:19">
      <c r="A117" s="12" t="s">
        <v>254</v>
      </c>
      <c r="B117" s="13">
        <v>45554</v>
      </c>
      <c r="C117" s="12" t="s">
        <v>72</v>
      </c>
      <c r="D117" s="12" t="s">
        <v>73</v>
      </c>
      <c r="E117" s="12" t="s">
        <v>80</v>
      </c>
      <c r="F117" s="12" t="s">
        <v>81</v>
      </c>
      <c r="G117" s="12" t="s">
        <v>19</v>
      </c>
      <c r="H117" s="12">
        <v>4</v>
      </c>
      <c r="I117" s="14">
        <v>699.99</v>
      </c>
      <c r="J117" s="12" t="s">
        <v>34</v>
      </c>
      <c r="K117" s="12" t="s">
        <v>35</v>
      </c>
      <c r="L117" s="12" t="s">
        <v>22</v>
      </c>
      <c r="M117" s="13">
        <v>44618</v>
      </c>
      <c r="N117" s="1">
        <v>2799.96</v>
      </c>
      <c r="O117" s="12" t="str">
        <f>TEXT(B117,"mmm-yyyy")</f>
        <v>Sep-2024</v>
      </c>
      <c r="P117" s="13">
        <f>EOMONTH(B117,0)</f>
        <v>45565</v>
      </c>
      <c r="Q117" s="12">
        <f ca="1">DATEDIF(M117,TODAY(),"y")</f>
        <v>4</v>
      </c>
      <c r="R117" s="15">
        <f ca="1">NOW()</f>
        <v>46282.345924652778</v>
      </c>
      <c r="S117" s="12" t="str">
        <f>UPPER(LEFT(D117,1)&amp;LEFT(RIGHT(D117,LEN(D117)-FIND(" ",D117)),1))</f>
        <v>PR</v>
      </c>
    </row>
    <row r="118" spans="1:19">
      <c r="A118" s="12" t="s">
        <v>255</v>
      </c>
      <c r="B118" s="13">
        <v>45559</v>
      </c>
      <c r="C118" s="12" t="s">
        <v>234</v>
      </c>
      <c r="D118" s="12" t="s">
        <v>235</v>
      </c>
      <c r="E118" s="12" t="s">
        <v>61</v>
      </c>
      <c r="F118" s="12" t="s">
        <v>62</v>
      </c>
      <c r="G118" s="12" t="s">
        <v>19</v>
      </c>
      <c r="H118" s="12">
        <v>3</v>
      </c>
      <c r="I118" s="14">
        <v>899.99</v>
      </c>
      <c r="J118" s="12" t="s">
        <v>26</v>
      </c>
      <c r="K118" s="12" t="s">
        <v>40</v>
      </c>
      <c r="L118" s="12" t="s">
        <v>36</v>
      </c>
      <c r="M118" s="13">
        <v>45157</v>
      </c>
      <c r="N118" s="1">
        <v>2699.97</v>
      </c>
      <c r="O118" s="12" t="str">
        <f>TEXT(B118,"mmm-yyyy")</f>
        <v>Sep-2024</v>
      </c>
      <c r="P118" s="13">
        <f>EOMONTH(B118,0)</f>
        <v>45565</v>
      </c>
      <c r="Q118" s="12">
        <f ca="1">DATEDIF(M118,TODAY(),"y")</f>
        <v>3</v>
      </c>
      <c r="R118" s="15">
        <f ca="1">NOW()</f>
        <v>46282.345924652778</v>
      </c>
      <c r="S118" s="12" t="str">
        <f>UPPER(LEFT(D118,1)&amp;LEFT(RIGHT(D118,LEN(D118)-FIND(" ",D118)),1))</f>
        <v>SP</v>
      </c>
    </row>
    <row r="119" spans="1:19">
      <c r="A119" s="12" t="s">
        <v>256</v>
      </c>
      <c r="B119" s="13">
        <v>45560</v>
      </c>
      <c r="C119" s="12" t="s">
        <v>112</v>
      </c>
      <c r="D119" s="12" t="s">
        <v>113</v>
      </c>
      <c r="E119" s="12" t="s">
        <v>44</v>
      </c>
      <c r="F119" s="12" t="s">
        <v>45</v>
      </c>
      <c r="G119" s="12" t="s">
        <v>46</v>
      </c>
      <c r="H119" s="12">
        <v>3</v>
      </c>
      <c r="I119" s="14">
        <v>149.99</v>
      </c>
      <c r="J119" s="12" t="s">
        <v>34</v>
      </c>
      <c r="K119" s="12" t="s">
        <v>63</v>
      </c>
      <c r="L119" s="12" t="s">
        <v>22</v>
      </c>
      <c r="M119" s="13">
        <v>44886</v>
      </c>
      <c r="N119" s="1">
        <v>449.97</v>
      </c>
      <c r="O119" s="12" t="str">
        <f>TEXT(B119,"mmm-yyyy")</f>
        <v>Sep-2024</v>
      </c>
      <c r="P119" s="13">
        <f>EOMONTH(B119,0)</f>
        <v>45565</v>
      </c>
      <c r="Q119" s="12">
        <f ca="1">DATEDIF(M119,TODAY(),"y")</f>
        <v>3</v>
      </c>
      <c r="R119" s="15">
        <f ca="1">NOW()</f>
        <v>46282.345924652778</v>
      </c>
      <c r="S119" s="12" t="str">
        <f>UPPER(LEFT(D119,1)&amp;LEFT(RIGHT(D119,LEN(D119)-FIND(" ",D119)),1))</f>
        <v>LM</v>
      </c>
    </row>
    <row r="120" spans="1:19">
      <c r="A120" s="12" t="s">
        <v>257</v>
      </c>
      <c r="B120" s="13">
        <v>45563</v>
      </c>
      <c r="C120" s="12" t="s">
        <v>99</v>
      </c>
      <c r="D120" s="12" t="s">
        <v>100</v>
      </c>
      <c r="E120" s="12" t="s">
        <v>105</v>
      </c>
      <c r="F120" s="12" t="s">
        <v>106</v>
      </c>
      <c r="G120" s="12" t="s">
        <v>46</v>
      </c>
      <c r="H120" s="12">
        <v>2</v>
      </c>
      <c r="I120" s="14">
        <v>299.99</v>
      </c>
      <c r="J120" s="12" t="s">
        <v>57</v>
      </c>
      <c r="K120" s="12" t="s">
        <v>21</v>
      </c>
      <c r="L120" s="12" t="s">
        <v>22</v>
      </c>
      <c r="M120" s="13">
        <v>44569</v>
      </c>
      <c r="N120" s="1">
        <v>599.98</v>
      </c>
      <c r="O120" s="12" t="str">
        <f>TEXT(B120,"mmm-yyyy")</f>
        <v>Sep-2024</v>
      </c>
      <c r="P120" s="13">
        <f>EOMONTH(B120,0)</f>
        <v>45565</v>
      </c>
      <c r="Q120" s="12">
        <f ca="1">DATEDIF(M120,TODAY(),"y")</f>
        <v>4</v>
      </c>
      <c r="R120" s="15">
        <f ca="1">NOW()</f>
        <v>46282.345924652778</v>
      </c>
      <c r="S120" s="12" t="str">
        <f>UPPER(LEFT(D120,1)&amp;LEFT(RIGHT(D120,LEN(D120)-FIND(" ",D120)),1))</f>
        <v>PM</v>
      </c>
    </row>
    <row r="121" spans="1:19">
      <c r="A121" s="12" t="s">
        <v>258</v>
      </c>
      <c r="B121" s="13">
        <v>45564</v>
      </c>
      <c r="C121" s="12" t="s">
        <v>259</v>
      </c>
      <c r="D121" s="12" t="s">
        <v>260</v>
      </c>
      <c r="E121" s="12" t="s">
        <v>126</v>
      </c>
      <c r="F121" s="12" t="s">
        <v>127</v>
      </c>
      <c r="G121" s="12" t="s">
        <v>46</v>
      </c>
      <c r="H121" s="12">
        <v>1</v>
      </c>
      <c r="I121" s="14">
        <v>199.99</v>
      </c>
      <c r="J121" s="12" t="s">
        <v>57</v>
      </c>
      <c r="K121" s="12" t="s">
        <v>63</v>
      </c>
      <c r="L121" s="12" t="s">
        <v>36</v>
      </c>
      <c r="M121" s="13">
        <v>44953</v>
      </c>
      <c r="N121" s="1">
        <v>199.99</v>
      </c>
      <c r="O121" s="12" t="str">
        <f>TEXT(B121,"mmm-yyyy")</f>
        <v>Sep-2024</v>
      </c>
      <c r="P121" s="13">
        <f>EOMONTH(B121,0)</f>
        <v>45565</v>
      </c>
      <c r="Q121" s="12">
        <f ca="1">DATEDIF(M121,TODAY(),"y")</f>
        <v>3</v>
      </c>
      <c r="R121" s="15">
        <f ca="1">NOW()</f>
        <v>46282.345924652778</v>
      </c>
      <c r="S121" s="12" t="str">
        <f>UPPER(LEFT(D121,1)&amp;LEFT(RIGHT(D121,LEN(D121)-FIND(" ",D121)),1))</f>
        <v>RL</v>
      </c>
    </row>
    <row r="122" spans="1:19">
      <c r="A122" s="12" t="s">
        <v>261</v>
      </c>
      <c r="B122" s="13">
        <v>45566</v>
      </c>
      <c r="C122" s="12" t="s">
        <v>42</v>
      </c>
      <c r="D122" s="12" t="s">
        <v>43</v>
      </c>
      <c r="E122" s="12" t="s">
        <v>105</v>
      </c>
      <c r="F122" s="12" t="s">
        <v>106</v>
      </c>
      <c r="G122" s="12" t="s">
        <v>46</v>
      </c>
      <c r="H122" s="12">
        <v>4</v>
      </c>
      <c r="I122" s="14">
        <v>299.99</v>
      </c>
      <c r="J122" s="12" t="s">
        <v>20</v>
      </c>
      <c r="K122" s="12" t="s">
        <v>21</v>
      </c>
      <c r="L122" s="12" t="s">
        <v>27</v>
      </c>
      <c r="M122" s="13">
        <v>44460</v>
      </c>
      <c r="N122" s="1">
        <v>1199.96</v>
      </c>
      <c r="O122" s="12" t="str">
        <f>TEXT(B122,"mmm-yyyy")</f>
        <v>Oct-2024</v>
      </c>
      <c r="P122" s="13">
        <f>EOMONTH(B122,0)</f>
        <v>45596</v>
      </c>
      <c r="Q122" s="12">
        <f ca="1">DATEDIF(M122,TODAY(),"y")</f>
        <v>4</v>
      </c>
      <c r="R122" s="15">
        <f ca="1">NOW()</f>
        <v>46282.345924652778</v>
      </c>
      <c r="S122" s="12" t="str">
        <f>UPPER(LEFT(D122,1)&amp;LEFT(RIGHT(D122,LEN(D122)-FIND(" ",D122)),1))</f>
        <v>MB</v>
      </c>
    </row>
    <row r="123" spans="1:19">
      <c r="A123" s="12" t="s">
        <v>262</v>
      </c>
      <c r="B123" s="13">
        <v>45572</v>
      </c>
      <c r="C123" s="12" t="s">
        <v>89</v>
      </c>
      <c r="D123" s="12" t="s">
        <v>90</v>
      </c>
      <c r="E123" s="12" t="s">
        <v>31</v>
      </c>
      <c r="F123" s="12" t="s">
        <v>32</v>
      </c>
      <c r="G123" s="12" t="s">
        <v>33</v>
      </c>
      <c r="H123" s="12">
        <v>2</v>
      </c>
      <c r="I123" s="14">
        <v>59.99</v>
      </c>
      <c r="J123" s="12" t="s">
        <v>26</v>
      </c>
      <c r="K123" s="12" t="s">
        <v>21</v>
      </c>
      <c r="L123" s="12" t="s">
        <v>22</v>
      </c>
      <c r="M123" s="13">
        <v>44579</v>
      </c>
      <c r="N123" s="1">
        <v>119.98</v>
      </c>
      <c r="O123" s="12" t="str">
        <f>TEXT(B123,"mmm-yyyy")</f>
        <v>Oct-2024</v>
      </c>
      <c r="P123" s="13">
        <f>EOMONTH(B123,0)</f>
        <v>45596</v>
      </c>
      <c r="Q123" s="12">
        <f ca="1">DATEDIF(M123,TODAY(),"y")</f>
        <v>4</v>
      </c>
      <c r="R123" s="15">
        <f ca="1">NOW()</f>
        <v>46282.345924652778</v>
      </c>
      <c r="S123" s="12" t="str">
        <f>UPPER(LEFT(D123,1)&amp;LEFT(RIGHT(D123,LEN(D123)-FIND(" ",D123)),1))</f>
        <v>MG</v>
      </c>
    </row>
    <row r="124" spans="1:19">
      <c r="A124" s="12" t="s">
        <v>263</v>
      </c>
      <c r="B124" s="13">
        <v>45572</v>
      </c>
      <c r="C124" s="12" t="s">
        <v>234</v>
      </c>
      <c r="D124" s="12" t="s">
        <v>235</v>
      </c>
      <c r="E124" s="12" t="s">
        <v>52</v>
      </c>
      <c r="F124" s="12" t="s">
        <v>53</v>
      </c>
      <c r="G124" s="12" t="s">
        <v>19</v>
      </c>
      <c r="H124" s="12">
        <v>4</v>
      </c>
      <c r="I124" s="14">
        <v>149.99</v>
      </c>
      <c r="J124" s="12" t="s">
        <v>26</v>
      </c>
      <c r="K124" s="12" t="s">
        <v>40</v>
      </c>
      <c r="L124" s="12" t="s">
        <v>27</v>
      </c>
      <c r="M124" s="13">
        <v>45076</v>
      </c>
      <c r="N124" s="1">
        <v>599.96</v>
      </c>
      <c r="O124" s="12" t="str">
        <f>TEXT(B124,"mmm-yyyy")</f>
        <v>Oct-2024</v>
      </c>
      <c r="P124" s="13">
        <f>EOMONTH(B124,0)</f>
        <v>45596</v>
      </c>
      <c r="Q124" s="12">
        <f ca="1">DATEDIF(M124,TODAY(),"y")</f>
        <v>3</v>
      </c>
      <c r="R124" s="15">
        <f ca="1">NOW()</f>
        <v>46282.345924652778</v>
      </c>
      <c r="S124" s="12" t="str">
        <f>UPPER(LEFT(D124,1)&amp;LEFT(RIGHT(D124,LEN(D124)-FIND(" ",D124)),1))</f>
        <v>SP</v>
      </c>
    </row>
    <row r="125" spans="1:19">
      <c r="A125" s="12" t="s">
        <v>264</v>
      </c>
      <c r="B125" s="13">
        <v>45573</v>
      </c>
      <c r="C125" s="12" t="s">
        <v>211</v>
      </c>
      <c r="D125" s="12" t="s">
        <v>212</v>
      </c>
      <c r="E125" s="12" t="s">
        <v>80</v>
      </c>
      <c r="F125" s="12" t="s">
        <v>81</v>
      </c>
      <c r="G125" s="12" t="s">
        <v>19</v>
      </c>
      <c r="H125" s="12">
        <v>2</v>
      </c>
      <c r="I125" s="14">
        <v>699.99</v>
      </c>
      <c r="J125" s="12" t="s">
        <v>57</v>
      </c>
      <c r="K125" s="12" t="s">
        <v>63</v>
      </c>
      <c r="L125" s="12" t="s">
        <v>27</v>
      </c>
      <c r="M125" s="13">
        <v>45274</v>
      </c>
      <c r="N125" s="1">
        <v>1399.98</v>
      </c>
      <c r="O125" s="12" t="str">
        <f>TEXT(B125,"mmm-yyyy")</f>
        <v>Oct-2024</v>
      </c>
      <c r="P125" s="13">
        <f>EOMONTH(B125,0)</f>
        <v>45596</v>
      </c>
      <c r="Q125" s="12">
        <f ca="1">DATEDIF(M125,TODAY(),"y")</f>
        <v>2</v>
      </c>
      <c r="R125" s="15">
        <f ca="1">NOW()</f>
        <v>46282.345924652778</v>
      </c>
      <c r="S125" s="12" t="str">
        <f>UPPER(LEFT(D125,1)&amp;LEFT(RIGHT(D125,LEN(D125)-FIND(" ",D125)),1))</f>
        <v>EH</v>
      </c>
    </row>
    <row r="126" spans="1:19">
      <c r="A126" s="12" t="s">
        <v>265</v>
      </c>
      <c r="B126" s="13">
        <v>45573</v>
      </c>
      <c r="C126" s="12" t="s">
        <v>231</v>
      </c>
      <c r="D126" s="12" t="s">
        <v>232</v>
      </c>
      <c r="E126" s="12" t="s">
        <v>44</v>
      </c>
      <c r="F126" s="12" t="s">
        <v>45</v>
      </c>
      <c r="G126" s="12" t="s">
        <v>46</v>
      </c>
      <c r="H126" s="12">
        <v>3</v>
      </c>
      <c r="I126" s="14">
        <v>149.99</v>
      </c>
      <c r="J126" s="12" t="s">
        <v>26</v>
      </c>
      <c r="K126" s="12" t="s">
        <v>35</v>
      </c>
      <c r="L126" s="12" t="s">
        <v>36</v>
      </c>
      <c r="M126" s="13">
        <v>44940</v>
      </c>
      <c r="N126" s="1">
        <v>449.97</v>
      </c>
      <c r="O126" s="12" t="str">
        <f>TEXT(B126,"mmm-yyyy")</f>
        <v>Oct-2024</v>
      </c>
      <c r="P126" s="13">
        <f>EOMONTH(B126,0)</f>
        <v>45596</v>
      </c>
      <c r="Q126" s="12">
        <f ca="1">DATEDIF(M126,TODAY(),"y")</f>
        <v>3</v>
      </c>
      <c r="R126" s="15">
        <f ca="1">NOW()</f>
        <v>46282.345924652778</v>
      </c>
      <c r="S126" s="12" t="str">
        <f>UPPER(LEFT(D126,1)&amp;LEFT(RIGHT(D126,LEN(D126)-FIND(" ",D126)),1))</f>
        <v>CE</v>
      </c>
    </row>
    <row r="127" spans="1:19">
      <c r="A127" s="12" t="s">
        <v>266</v>
      </c>
      <c r="B127" s="13">
        <v>45576</v>
      </c>
      <c r="C127" s="12" t="s">
        <v>147</v>
      </c>
      <c r="D127" s="12" t="s">
        <v>148</v>
      </c>
      <c r="E127" s="12" t="s">
        <v>105</v>
      </c>
      <c r="F127" s="12" t="s">
        <v>106</v>
      </c>
      <c r="G127" s="12" t="s">
        <v>46</v>
      </c>
      <c r="H127" s="12">
        <v>3</v>
      </c>
      <c r="I127" s="14">
        <v>299.99</v>
      </c>
      <c r="J127" s="12" t="s">
        <v>26</v>
      </c>
      <c r="K127" s="12" t="s">
        <v>21</v>
      </c>
      <c r="L127" s="12" t="s">
        <v>36</v>
      </c>
      <c r="M127" s="13">
        <v>45174</v>
      </c>
      <c r="N127" s="1">
        <v>899.97</v>
      </c>
      <c r="O127" s="12" t="str">
        <f>TEXT(B127,"mmm-yyyy")</f>
        <v>Oct-2024</v>
      </c>
      <c r="P127" s="13">
        <f>EOMONTH(B127,0)</f>
        <v>45596</v>
      </c>
      <c r="Q127" s="12">
        <f ca="1">DATEDIF(M127,TODAY(),"y")</f>
        <v>3</v>
      </c>
      <c r="R127" s="15">
        <f ca="1">NOW()</f>
        <v>46282.345924652778</v>
      </c>
      <c r="S127" s="12" t="str">
        <f>UPPER(LEFT(D127,1)&amp;LEFT(RIGHT(D127,LEN(D127)-FIND(" ",D127)),1))</f>
        <v>DK</v>
      </c>
    </row>
    <row r="128" spans="1:19">
      <c r="A128" s="12" t="s">
        <v>267</v>
      </c>
      <c r="B128" s="13">
        <v>45579</v>
      </c>
      <c r="C128" s="12" t="s">
        <v>83</v>
      </c>
      <c r="D128" s="12" t="s">
        <v>84</v>
      </c>
      <c r="E128" s="12" t="s">
        <v>61</v>
      </c>
      <c r="F128" s="12" t="s">
        <v>62</v>
      </c>
      <c r="G128" s="12" t="s">
        <v>19</v>
      </c>
      <c r="H128" s="12">
        <v>3</v>
      </c>
      <c r="I128" s="14">
        <v>899.99</v>
      </c>
      <c r="J128" s="12" t="s">
        <v>34</v>
      </c>
      <c r="K128" s="12" t="s">
        <v>50</v>
      </c>
      <c r="L128" s="12" t="s">
        <v>22</v>
      </c>
      <c r="M128" s="13">
        <v>45215</v>
      </c>
      <c r="N128" s="1">
        <v>2699.97</v>
      </c>
      <c r="O128" s="12" t="str">
        <f>TEXT(B128,"mmm-yyyy")</f>
        <v>Oct-2024</v>
      </c>
      <c r="P128" s="13">
        <f>EOMONTH(B128,0)</f>
        <v>45596</v>
      </c>
      <c r="Q128" s="12">
        <f ca="1">DATEDIF(M128,TODAY(),"y")</f>
        <v>2</v>
      </c>
      <c r="R128" s="15">
        <f ca="1">NOW()</f>
        <v>46282.345924652778</v>
      </c>
      <c r="S128" s="12" t="str">
        <f>UPPER(LEFT(D128,1)&amp;LEFT(RIGHT(D128,LEN(D128)-FIND(" ",D128)),1))</f>
        <v>GA</v>
      </c>
    </row>
    <row r="129" spans="1:19">
      <c r="A129" s="12" t="s">
        <v>268</v>
      </c>
      <c r="B129" s="13">
        <v>45581</v>
      </c>
      <c r="C129" s="12" t="s">
        <v>96</v>
      </c>
      <c r="D129" s="12" t="s">
        <v>97</v>
      </c>
      <c r="E129" s="12" t="s">
        <v>80</v>
      </c>
      <c r="F129" s="12" t="s">
        <v>81</v>
      </c>
      <c r="G129" s="12" t="s">
        <v>19</v>
      </c>
      <c r="H129" s="12">
        <v>5</v>
      </c>
      <c r="I129" s="14">
        <v>699.99</v>
      </c>
      <c r="J129" s="12" t="s">
        <v>20</v>
      </c>
      <c r="K129" s="12" t="s">
        <v>63</v>
      </c>
      <c r="L129" s="12" t="s">
        <v>36</v>
      </c>
      <c r="M129" s="13">
        <v>45008</v>
      </c>
      <c r="N129" s="1">
        <v>3499.95</v>
      </c>
      <c r="O129" s="12" t="str">
        <f>TEXT(B129,"mmm-yyyy")</f>
        <v>Oct-2024</v>
      </c>
      <c r="P129" s="13">
        <f>EOMONTH(B129,0)</f>
        <v>45596</v>
      </c>
      <c r="Q129" s="12">
        <f ca="1">DATEDIF(M129,TODAY(),"y")</f>
        <v>3</v>
      </c>
      <c r="R129" s="15">
        <f ca="1">NOW()</f>
        <v>46282.345924652778</v>
      </c>
      <c r="S129" s="12" t="str">
        <f>UPPER(LEFT(D129,1)&amp;LEFT(RIGHT(D129,LEN(D129)-FIND(" ",D129)),1))</f>
        <v>BY</v>
      </c>
    </row>
    <row r="130" spans="1:19">
      <c r="A130" s="12" t="s">
        <v>269</v>
      </c>
      <c r="B130" s="13">
        <v>45581</v>
      </c>
      <c r="C130" s="12" t="s">
        <v>171</v>
      </c>
      <c r="D130" s="12" t="s">
        <v>172</v>
      </c>
      <c r="E130" s="12" t="s">
        <v>80</v>
      </c>
      <c r="F130" s="12" t="s">
        <v>81</v>
      </c>
      <c r="G130" s="12" t="s">
        <v>19</v>
      </c>
      <c r="H130" s="12">
        <v>4</v>
      </c>
      <c r="I130" s="14">
        <v>699.99</v>
      </c>
      <c r="J130" s="12" t="s">
        <v>26</v>
      </c>
      <c r="K130" s="12" t="s">
        <v>21</v>
      </c>
      <c r="L130" s="12" t="s">
        <v>22</v>
      </c>
      <c r="M130" s="13">
        <v>45385</v>
      </c>
      <c r="N130" s="1">
        <v>2799.96</v>
      </c>
      <c r="O130" s="12" t="str">
        <f>TEXT(B130,"mmm-yyyy")</f>
        <v>Oct-2024</v>
      </c>
      <c r="P130" s="13">
        <f>EOMONTH(B130,0)</f>
        <v>45596</v>
      </c>
      <c r="Q130" s="12">
        <f ca="1">DATEDIF(M130,TODAY(),"y")</f>
        <v>2</v>
      </c>
      <c r="R130" s="15">
        <f ca="1">NOW()</f>
        <v>46282.345924652778</v>
      </c>
      <c r="S130" s="12" t="str">
        <f>UPPER(LEFT(D130,1)&amp;LEFT(RIGHT(D130,LEN(D130)-FIND(" ",D130)),1))</f>
        <v>RR</v>
      </c>
    </row>
    <row r="131" spans="1:19">
      <c r="A131" s="12" t="s">
        <v>270</v>
      </c>
      <c r="B131" s="13">
        <v>45581</v>
      </c>
      <c r="C131" s="12" t="s">
        <v>150</v>
      </c>
      <c r="D131" s="12" t="s">
        <v>151</v>
      </c>
      <c r="E131" s="12" t="s">
        <v>61</v>
      </c>
      <c r="F131" s="12" t="s">
        <v>62</v>
      </c>
      <c r="G131" s="12" t="s">
        <v>19</v>
      </c>
      <c r="H131" s="12">
        <v>1</v>
      </c>
      <c r="I131" s="14">
        <v>899.99</v>
      </c>
      <c r="J131" s="12" t="s">
        <v>26</v>
      </c>
      <c r="K131" s="12" t="s">
        <v>63</v>
      </c>
      <c r="L131" s="12" t="s">
        <v>36</v>
      </c>
      <c r="M131" s="13">
        <v>45369</v>
      </c>
      <c r="N131" s="1">
        <v>899.99</v>
      </c>
      <c r="O131" s="12" t="str">
        <f>TEXT(B131,"mmm-yyyy")</f>
        <v>Oct-2024</v>
      </c>
      <c r="P131" s="13">
        <f>EOMONTH(B131,0)</f>
        <v>45596</v>
      </c>
      <c r="Q131" s="12">
        <f ca="1">DATEDIF(M131,TODAY(),"y")</f>
        <v>2</v>
      </c>
      <c r="R131" s="15">
        <f ca="1">NOW()</f>
        <v>46282.345924652778</v>
      </c>
      <c r="S131" s="12" t="str">
        <f>UPPER(LEFT(D131,1)&amp;LEFT(RIGHT(D131,LEN(D131)-FIND(" ",D131)),1))</f>
        <v>SB</v>
      </c>
    </row>
    <row r="132" spans="1:19">
      <c r="A132" s="12" t="s">
        <v>271</v>
      </c>
      <c r="B132" s="13">
        <v>45583</v>
      </c>
      <c r="C132" s="12" t="s">
        <v>226</v>
      </c>
      <c r="D132" s="12" t="s">
        <v>227</v>
      </c>
      <c r="E132" s="12" t="s">
        <v>52</v>
      </c>
      <c r="F132" s="12" t="s">
        <v>53</v>
      </c>
      <c r="G132" s="12" t="s">
        <v>19</v>
      </c>
      <c r="H132" s="12">
        <v>2</v>
      </c>
      <c r="I132" s="14">
        <v>149.99</v>
      </c>
      <c r="J132" s="12" t="s">
        <v>26</v>
      </c>
      <c r="K132" s="12" t="s">
        <v>50</v>
      </c>
      <c r="L132" s="12" t="s">
        <v>22</v>
      </c>
      <c r="M132" s="13">
        <v>44916</v>
      </c>
      <c r="N132" s="1">
        <v>299.98</v>
      </c>
      <c r="O132" s="12" t="str">
        <f>TEXT(B132,"mmm-yyyy")</f>
        <v>Oct-2024</v>
      </c>
      <c r="P132" s="13">
        <f>EOMONTH(B132,0)</f>
        <v>45596</v>
      </c>
      <c r="Q132" s="12">
        <f ca="1">DATEDIF(M132,TODAY(),"y")</f>
        <v>3</v>
      </c>
      <c r="R132" s="15">
        <f ca="1">NOW()</f>
        <v>46282.345924652778</v>
      </c>
      <c r="S132" s="12" t="str">
        <f>UPPER(LEFT(D132,1)&amp;LEFT(RIGHT(D132,LEN(D132)-FIND(" ",D132)),1))</f>
        <v>LR</v>
      </c>
    </row>
    <row r="133" spans="1:19">
      <c r="A133" s="12" t="s">
        <v>272</v>
      </c>
      <c r="B133" s="13">
        <v>45586</v>
      </c>
      <c r="C133" s="12" t="s">
        <v>226</v>
      </c>
      <c r="D133" s="12" t="s">
        <v>227</v>
      </c>
      <c r="E133" s="12" t="s">
        <v>117</v>
      </c>
      <c r="F133" s="12" t="s">
        <v>118</v>
      </c>
      <c r="G133" s="12" t="s">
        <v>19</v>
      </c>
      <c r="H133" s="12">
        <v>3</v>
      </c>
      <c r="I133" s="14">
        <v>89.99</v>
      </c>
      <c r="J133" s="12" t="s">
        <v>34</v>
      </c>
      <c r="K133" s="12" t="s">
        <v>21</v>
      </c>
      <c r="L133" s="12" t="s">
        <v>22</v>
      </c>
      <c r="M133" s="13">
        <v>44551</v>
      </c>
      <c r="N133" s="1">
        <v>269.97000000000003</v>
      </c>
      <c r="O133" s="12" t="str">
        <f>TEXT(B133,"mmm-yyyy")</f>
        <v>Oct-2024</v>
      </c>
      <c r="P133" s="13">
        <f>EOMONTH(B133,0)</f>
        <v>45596</v>
      </c>
      <c r="Q133" s="12">
        <f ca="1">DATEDIF(M133,TODAY(),"y")</f>
        <v>4</v>
      </c>
      <c r="R133" s="15">
        <f ca="1">NOW()</f>
        <v>46282.345924652778</v>
      </c>
      <c r="S133" s="12" t="str">
        <f>UPPER(LEFT(D133,1)&amp;LEFT(RIGHT(D133,LEN(D133)-FIND(" ",D133)),1))</f>
        <v>LR</v>
      </c>
    </row>
    <row r="134" spans="1:19">
      <c r="A134" s="12" t="s">
        <v>273</v>
      </c>
      <c r="B134" s="13">
        <v>45588</v>
      </c>
      <c r="C134" s="12" t="s">
        <v>38</v>
      </c>
      <c r="D134" s="12" t="s">
        <v>39</v>
      </c>
      <c r="E134" s="12" t="s">
        <v>52</v>
      </c>
      <c r="F134" s="12" t="s">
        <v>53</v>
      </c>
      <c r="G134" s="12" t="s">
        <v>19</v>
      </c>
      <c r="H134" s="12">
        <v>2</v>
      </c>
      <c r="I134" s="14">
        <v>149.99</v>
      </c>
      <c r="J134" s="12" t="s">
        <v>34</v>
      </c>
      <c r="K134" s="12" t="s">
        <v>21</v>
      </c>
      <c r="L134" s="12" t="s">
        <v>22</v>
      </c>
      <c r="M134" s="13">
        <v>44473</v>
      </c>
      <c r="N134" s="1">
        <v>299.98</v>
      </c>
      <c r="O134" s="12" t="str">
        <f>TEXT(B134,"mmm-yyyy")</f>
        <v>Oct-2024</v>
      </c>
      <c r="P134" s="13">
        <f>EOMONTH(B134,0)</f>
        <v>45596</v>
      </c>
      <c r="Q134" s="12">
        <f ca="1">DATEDIF(M134,TODAY(),"y")</f>
        <v>4</v>
      </c>
      <c r="R134" s="15">
        <f ca="1">NOW()</f>
        <v>46282.345924652778</v>
      </c>
      <c r="S134" s="12" t="str">
        <f>UPPER(LEFT(D134,1)&amp;LEFT(RIGHT(D134,LEN(D134)-FIND(" ",D134)),1))</f>
        <v>KB</v>
      </c>
    </row>
    <row r="135" spans="1:19">
      <c r="A135" s="12" t="s">
        <v>274</v>
      </c>
      <c r="B135" s="13">
        <v>45588</v>
      </c>
      <c r="C135" s="12" t="s">
        <v>154</v>
      </c>
      <c r="D135" s="12" t="s">
        <v>155</v>
      </c>
      <c r="E135" s="12" t="s">
        <v>80</v>
      </c>
      <c r="F135" s="12" t="s">
        <v>81</v>
      </c>
      <c r="G135" s="12" t="s">
        <v>19</v>
      </c>
      <c r="H135" s="12">
        <v>2</v>
      </c>
      <c r="I135" s="14">
        <v>699.99</v>
      </c>
      <c r="J135" s="12" t="s">
        <v>20</v>
      </c>
      <c r="K135" s="12" t="s">
        <v>21</v>
      </c>
      <c r="L135" s="12" t="s">
        <v>22</v>
      </c>
      <c r="M135" s="13">
        <v>44992</v>
      </c>
      <c r="N135" s="1">
        <v>1399.98</v>
      </c>
      <c r="O135" s="12" t="str">
        <f>TEXT(B135,"mmm-yyyy")</f>
        <v>Oct-2024</v>
      </c>
      <c r="P135" s="13">
        <f>EOMONTH(B135,0)</f>
        <v>45596</v>
      </c>
      <c r="Q135" s="12">
        <f ca="1">DATEDIF(M135,TODAY(),"y")</f>
        <v>3</v>
      </c>
      <c r="R135" s="15">
        <f ca="1">NOW()</f>
        <v>46282.345924652778</v>
      </c>
      <c r="S135" s="12" t="str">
        <f>UPPER(LEFT(D135,1)&amp;LEFT(RIGHT(D135,LEN(D135)-FIND(" ",D135)),1))</f>
        <v>SD</v>
      </c>
    </row>
    <row r="136" spans="1:19">
      <c r="A136" s="12" t="s">
        <v>275</v>
      </c>
      <c r="B136" s="13">
        <v>45589</v>
      </c>
      <c r="C136" s="12" t="s">
        <v>158</v>
      </c>
      <c r="D136" s="12" t="s">
        <v>159</v>
      </c>
      <c r="E136" s="12" t="s">
        <v>80</v>
      </c>
      <c r="F136" s="12" t="s">
        <v>81</v>
      </c>
      <c r="G136" s="12" t="s">
        <v>19</v>
      </c>
      <c r="H136" s="12">
        <v>5</v>
      </c>
      <c r="I136" s="14">
        <v>699.99</v>
      </c>
      <c r="J136" s="12" t="s">
        <v>20</v>
      </c>
      <c r="K136" s="12" t="s">
        <v>40</v>
      </c>
      <c r="L136" s="12" t="s">
        <v>27</v>
      </c>
      <c r="M136" s="13">
        <v>44635</v>
      </c>
      <c r="N136" s="1">
        <v>3499.95</v>
      </c>
      <c r="O136" s="12" t="str">
        <f>TEXT(B136,"mmm-yyyy")</f>
        <v>Oct-2024</v>
      </c>
      <c r="P136" s="13">
        <f>EOMONTH(B136,0)</f>
        <v>45596</v>
      </c>
      <c r="Q136" s="12">
        <f ca="1">DATEDIF(M136,TODAY(),"y")</f>
        <v>4</v>
      </c>
      <c r="R136" s="15">
        <f ca="1">NOW()</f>
        <v>46282.345924652778</v>
      </c>
      <c r="S136" s="12" t="str">
        <f>UPPER(LEFT(D136,1)&amp;LEFT(RIGHT(D136,LEN(D136)-FIND(" ",D136)),1))</f>
        <v>BC</v>
      </c>
    </row>
    <row r="137" spans="1:19">
      <c r="A137" s="12" t="s">
        <v>276</v>
      </c>
      <c r="B137" s="13">
        <v>45592</v>
      </c>
      <c r="C137" s="12" t="s">
        <v>171</v>
      </c>
      <c r="D137" s="12" t="s">
        <v>172</v>
      </c>
      <c r="E137" s="12" t="s">
        <v>117</v>
      </c>
      <c r="F137" s="12" t="s">
        <v>118</v>
      </c>
      <c r="G137" s="12" t="s">
        <v>19</v>
      </c>
      <c r="H137" s="12">
        <v>3</v>
      </c>
      <c r="I137" s="14">
        <v>89.99</v>
      </c>
      <c r="J137" s="12" t="s">
        <v>26</v>
      </c>
      <c r="K137" s="12" t="s">
        <v>40</v>
      </c>
      <c r="L137" s="12" t="s">
        <v>36</v>
      </c>
      <c r="M137" s="13">
        <v>44615</v>
      </c>
      <c r="N137" s="1">
        <v>269.97000000000003</v>
      </c>
      <c r="O137" s="12" t="str">
        <f>TEXT(B137,"mmm-yyyy")</f>
        <v>Oct-2024</v>
      </c>
      <c r="P137" s="13">
        <f>EOMONTH(B137,0)</f>
        <v>45596</v>
      </c>
      <c r="Q137" s="12">
        <f ca="1">DATEDIF(M137,TODAY(),"y")</f>
        <v>4</v>
      </c>
      <c r="R137" s="15">
        <f ca="1">NOW()</f>
        <v>46282.345924652778</v>
      </c>
      <c r="S137" s="12" t="str">
        <f>UPPER(LEFT(D137,1)&amp;LEFT(RIGHT(D137,LEN(D137)-FIND(" ",D137)),1))</f>
        <v>RR</v>
      </c>
    </row>
    <row r="138" spans="1:19">
      <c r="A138" s="12" t="s">
        <v>277</v>
      </c>
      <c r="B138" s="13">
        <v>45597</v>
      </c>
      <c r="C138" s="12" t="s">
        <v>15</v>
      </c>
      <c r="D138" s="12" t="s">
        <v>16</v>
      </c>
      <c r="E138" s="12" t="s">
        <v>17</v>
      </c>
      <c r="F138" s="12" t="s">
        <v>18</v>
      </c>
      <c r="G138" s="12" t="s">
        <v>19</v>
      </c>
      <c r="H138" s="12">
        <v>5</v>
      </c>
      <c r="I138" s="14">
        <v>249.99</v>
      </c>
      <c r="J138" s="12" t="s">
        <v>26</v>
      </c>
      <c r="K138" s="12" t="s">
        <v>35</v>
      </c>
      <c r="L138" s="12" t="s">
        <v>36</v>
      </c>
      <c r="M138" s="13">
        <v>44881</v>
      </c>
      <c r="N138" s="1">
        <v>1249.95</v>
      </c>
      <c r="O138" s="12" t="str">
        <f>TEXT(B138,"mmm-yyyy")</f>
        <v>Nov-2024</v>
      </c>
      <c r="P138" s="13">
        <f>EOMONTH(B138,0)</f>
        <v>45626</v>
      </c>
      <c r="Q138" s="12">
        <f ca="1">DATEDIF(M138,TODAY(),"y")</f>
        <v>3</v>
      </c>
      <c r="R138" s="15">
        <f ca="1">NOW()</f>
        <v>46282.345924652778</v>
      </c>
      <c r="S138" s="12" t="str">
        <f>UPPER(LEFT(D138,1)&amp;LEFT(RIGHT(D138,LEN(D138)-FIND(" ",D138)),1))</f>
        <v>PB</v>
      </c>
    </row>
    <row r="139" spans="1:19">
      <c r="A139" s="12" t="s">
        <v>278</v>
      </c>
      <c r="B139" s="13">
        <v>45600</v>
      </c>
      <c r="C139" s="12" t="s">
        <v>65</v>
      </c>
      <c r="D139" s="12" t="s">
        <v>66</v>
      </c>
      <c r="E139" s="12" t="s">
        <v>105</v>
      </c>
      <c r="F139" s="12" t="s">
        <v>106</v>
      </c>
      <c r="G139" s="12" t="s">
        <v>46</v>
      </c>
      <c r="H139" s="12">
        <v>3</v>
      </c>
      <c r="I139" s="14">
        <v>299.99</v>
      </c>
      <c r="J139" s="12" t="s">
        <v>26</v>
      </c>
      <c r="K139" s="12" t="s">
        <v>35</v>
      </c>
      <c r="L139" s="12" t="s">
        <v>36</v>
      </c>
      <c r="M139" s="13">
        <v>44502</v>
      </c>
      <c r="N139" s="1">
        <v>899.97</v>
      </c>
      <c r="O139" s="12" t="str">
        <f>TEXT(B139,"mmm-yyyy")</f>
        <v>Nov-2024</v>
      </c>
      <c r="P139" s="13">
        <f>EOMONTH(B139,0)</f>
        <v>45626</v>
      </c>
      <c r="Q139" s="12">
        <f ca="1">DATEDIF(M139,TODAY(),"y")</f>
        <v>4</v>
      </c>
      <c r="R139" s="15">
        <f ca="1">NOW()</f>
        <v>46282.345924652778</v>
      </c>
      <c r="S139" s="12" t="str">
        <f>UPPER(LEFT(D139,1)&amp;LEFT(RIGHT(D139,LEN(D139)-FIND(" ",D139)),1))</f>
        <v>KH</v>
      </c>
    </row>
    <row r="140" spans="1:19">
      <c r="A140" s="12" t="s">
        <v>279</v>
      </c>
      <c r="B140" s="13">
        <v>45603</v>
      </c>
      <c r="C140" s="12" t="s">
        <v>99</v>
      </c>
      <c r="D140" s="12" t="s">
        <v>100</v>
      </c>
      <c r="E140" s="12" t="s">
        <v>117</v>
      </c>
      <c r="F140" s="12" t="s">
        <v>118</v>
      </c>
      <c r="G140" s="12" t="s">
        <v>19</v>
      </c>
      <c r="H140" s="12">
        <v>3</v>
      </c>
      <c r="I140" s="14">
        <v>89.99</v>
      </c>
      <c r="J140" s="12" t="s">
        <v>26</v>
      </c>
      <c r="K140" s="12" t="s">
        <v>40</v>
      </c>
      <c r="L140" s="12" t="s">
        <v>27</v>
      </c>
      <c r="M140" s="13">
        <v>44420</v>
      </c>
      <c r="N140" s="1">
        <v>269.97000000000003</v>
      </c>
      <c r="O140" s="12" t="str">
        <f>TEXT(B140,"mmm-yyyy")</f>
        <v>Nov-2024</v>
      </c>
      <c r="P140" s="13">
        <f>EOMONTH(B140,0)</f>
        <v>45626</v>
      </c>
      <c r="Q140" s="12">
        <f ca="1">DATEDIF(M140,TODAY(),"y")</f>
        <v>5</v>
      </c>
      <c r="R140" s="15">
        <f ca="1">NOW()</f>
        <v>46282.345924652778</v>
      </c>
      <c r="S140" s="12" t="str">
        <f>UPPER(LEFT(D140,1)&amp;LEFT(RIGHT(D140,LEN(D140)-FIND(" ",D140)),1))</f>
        <v>PM</v>
      </c>
    </row>
    <row r="141" spans="1:19">
      <c r="A141" s="12" t="s">
        <v>280</v>
      </c>
      <c r="B141" s="13">
        <v>45604</v>
      </c>
      <c r="C141" s="12" t="s">
        <v>89</v>
      </c>
      <c r="D141" s="12" t="s">
        <v>90</v>
      </c>
      <c r="E141" s="12" t="s">
        <v>44</v>
      </c>
      <c r="F141" s="12" t="s">
        <v>45</v>
      </c>
      <c r="G141" s="12" t="s">
        <v>46</v>
      </c>
      <c r="H141" s="12">
        <v>2</v>
      </c>
      <c r="I141" s="14">
        <v>149.99</v>
      </c>
      <c r="J141" s="12" t="s">
        <v>26</v>
      </c>
      <c r="K141" s="12" t="s">
        <v>50</v>
      </c>
      <c r="L141" s="12" t="s">
        <v>27</v>
      </c>
      <c r="M141" s="13">
        <v>44848</v>
      </c>
      <c r="N141" s="1">
        <v>299.98</v>
      </c>
      <c r="O141" s="12" t="str">
        <f>TEXT(B141,"mmm-yyyy")</f>
        <v>Nov-2024</v>
      </c>
      <c r="P141" s="13">
        <f>EOMONTH(B141,0)</f>
        <v>45626</v>
      </c>
      <c r="Q141" s="12">
        <f ca="1">DATEDIF(M141,TODAY(),"y")</f>
        <v>3</v>
      </c>
      <c r="R141" s="15">
        <f ca="1">NOW()</f>
        <v>46282.345924652778</v>
      </c>
      <c r="S141" s="12" t="str">
        <f>UPPER(LEFT(D141,1)&amp;LEFT(RIGHT(D141,LEN(D141)-FIND(" ",D141)),1))</f>
        <v>MG</v>
      </c>
    </row>
    <row r="142" spans="1:19">
      <c r="A142" s="12" t="s">
        <v>281</v>
      </c>
      <c r="B142" s="13">
        <v>45605</v>
      </c>
      <c r="C142" s="12" t="s">
        <v>185</v>
      </c>
      <c r="D142" s="12" t="s">
        <v>186</v>
      </c>
      <c r="E142" s="12" t="s">
        <v>17</v>
      </c>
      <c r="F142" s="12" t="s">
        <v>18</v>
      </c>
      <c r="G142" s="12" t="s">
        <v>19</v>
      </c>
      <c r="H142" s="12">
        <v>1</v>
      </c>
      <c r="I142" s="14">
        <v>249.99</v>
      </c>
      <c r="J142" s="12" t="s">
        <v>26</v>
      </c>
      <c r="K142" s="12" t="s">
        <v>40</v>
      </c>
      <c r="L142" s="12" t="s">
        <v>27</v>
      </c>
      <c r="M142" s="13">
        <v>44828</v>
      </c>
      <c r="N142" s="1">
        <v>249.99</v>
      </c>
      <c r="O142" s="12" t="str">
        <f>TEXT(B142,"mmm-yyyy")</f>
        <v>Nov-2024</v>
      </c>
      <c r="P142" s="13">
        <f>EOMONTH(B142,0)</f>
        <v>45626</v>
      </c>
      <c r="Q142" s="12">
        <f ca="1">DATEDIF(M142,TODAY(),"y")</f>
        <v>3</v>
      </c>
      <c r="R142" s="15">
        <f ca="1">NOW()</f>
        <v>46282.345924652778</v>
      </c>
      <c r="S142" s="12" t="str">
        <f>UPPER(LEFT(D142,1)&amp;LEFT(RIGHT(D142,LEN(D142)-FIND(" ",D142)),1))</f>
        <v>MW</v>
      </c>
    </row>
    <row r="143" spans="1:19">
      <c r="A143" s="12" t="s">
        <v>282</v>
      </c>
      <c r="B143" s="13">
        <v>45607</v>
      </c>
      <c r="C143" s="12" t="s">
        <v>72</v>
      </c>
      <c r="D143" s="12" t="s">
        <v>73</v>
      </c>
      <c r="E143" s="12" t="s">
        <v>52</v>
      </c>
      <c r="F143" s="12" t="s">
        <v>53</v>
      </c>
      <c r="G143" s="12" t="s">
        <v>19</v>
      </c>
      <c r="H143" s="12">
        <v>3</v>
      </c>
      <c r="I143" s="14">
        <v>149.99</v>
      </c>
      <c r="J143" s="12" t="s">
        <v>20</v>
      </c>
      <c r="K143" s="12" t="s">
        <v>40</v>
      </c>
      <c r="L143" s="12" t="s">
        <v>22</v>
      </c>
      <c r="M143" s="13">
        <v>44769</v>
      </c>
      <c r="N143" s="1">
        <v>449.97</v>
      </c>
      <c r="O143" s="12" t="str">
        <f>TEXT(B143,"mmm-yyyy")</f>
        <v>Nov-2024</v>
      </c>
      <c r="P143" s="13">
        <f>EOMONTH(B143,0)</f>
        <v>45626</v>
      </c>
      <c r="Q143" s="12">
        <f ca="1">DATEDIF(M143,TODAY(),"y")</f>
        <v>4</v>
      </c>
      <c r="R143" s="15">
        <f ca="1">NOW()</f>
        <v>46282.345924652778</v>
      </c>
      <c r="S143" s="12" t="str">
        <f>UPPER(LEFT(D143,1)&amp;LEFT(RIGHT(D143,LEN(D143)-FIND(" ",D143)),1))</f>
        <v>PR</v>
      </c>
    </row>
    <row r="144" spans="1:19">
      <c r="A144" s="12" t="s">
        <v>283</v>
      </c>
      <c r="B144" s="13">
        <v>45607</v>
      </c>
      <c r="C144" s="12" t="s">
        <v>15</v>
      </c>
      <c r="D144" s="12" t="s">
        <v>16</v>
      </c>
      <c r="E144" s="12" t="s">
        <v>31</v>
      </c>
      <c r="F144" s="12" t="s">
        <v>32</v>
      </c>
      <c r="G144" s="12" t="s">
        <v>33</v>
      </c>
      <c r="H144" s="12">
        <v>5</v>
      </c>
      <c r="I144" s="14">
        <v>59.99</v>
      </c>
      <c r="J144" s="12" t="s">
        <v>34</v>
      </c>
      <c r="K144" s="12" t="s">
        <v>50</v>
      </c>
      <c r="L144" s="12" t="s">
        <v>27</v>
      </c>
      <c r="M144" s="13">
        <v>44694</v>
      </c>
      <c r="N144" s="1">
        <v>299.95</v>
      </c>
      <c r="O144" s="12" t="str">
        <f>TEXT(B144,"mmm-yyyy")</f>
        <v>Nov-2024</v>
      </c>
      <c r="P144" s="13">
        <f>EOMONTH(B144,0)</f>
        <v>45626</v>
      </c>
      <c r="Q144" s="12">
        <f ca="1">DATEDIF(M144,TODAY(),"y")</f>
        <v>4</v>
      </c>
      <c r="R144" s="15">
        <f ca="1">NOW()</f>
        <v>46282.345924652778</v>
      </c>
      <c r="S144" s="12" t="str">
        <f>UPPER(LEFT(D144,1)&amp;LEFT(RIGHT(D144,LEN(D144)-FIND(" ",D144)),1))</f>
        <v>PB</v>
      </c>
    </row>
    <row r="145" spans="1:19">
      <c r="A145" s="12" t="s">
        <v>284</v>
      </c>
      <c r="B145" s="13">
        <v>45607</v>
      </c>
      <c r="C145" s="12" t="s">
        <v>99</v>
      </c>
      <c r="D145" s="12" t="s">
        <v>100</v>
      </c>
      <c r="E145" s="12" t="s">
        <v>17</v>
      </c>
      <c r="F145" s="12" t="s">
        <v>18</v>
      </c>
      <c r="G145" s="12" t="s">
        <v>19</v>
      </c>
      <c r="H145" s="12">
        <v>4</v>
      </c>
      <c r="I145" s="14">
        <v>249.99</v>
      </c>
      <c r="J145" s="12" t="s">
        <v>26</v>
      </c>
      <c r="K145" s="12" t="s">
        <v>50</v>
      </c>
      <c r="L145" s="12" t="s">
        <v>36</v>
      </c>
      <c r="M145" s="13">
        <v>44659</v>
      </c>
      <c r="N145" s="1">
        <v>999.96</v>
      </c>
      <c r="O145" s="12" t="str">
        <f>TEXT(B145,"mmm-yyyy")</f>
        <v>Nov-2024</v>
      </c>
      <c r="P145" s="13">
        <f>EOMONTH(B145,0)</f>
        <v>45626</v>
      </c>
      <c r="Q145" s="12">
        <f ca="1">DATEDIF(M145,TODAY(),"y")</f>
        <v>4</v>
      </c>
      <c r="R145" s="15">
        <f ca="1">NOW()</f>
        <v>46282.345924652778</v>
      </c>
      <c r="S145" s="12" t="str">
        <f>UPPER(LEFT(D145,1)&amp;LEFT(RIGHT(D145,LEN(D145)-FIND(" ",D145)),1))</f>
        <v>PM</v>
      </c>
    </row>
    <row r="146" spans="1:19">
      <c r="A146" s="12" t="s">
        <v>285</v>
      </c>
      <c r="B146" s="13">
        <v>45608</v>
      </c>
      <c r="C146" s="12" t="s">
        <v>154</v>
      </c>
      <c r="D146" s="12" t="s">
        <v>155</v>
      </c>
      <c r="E146" s="12" t="s">
        <v>44</v>
      </c>
      <c r="F146" s="12" t="s">
        <v>45</v>
      </c>
      <c r="G146" s="12" t="s">
        <v>46</v>
      </c>
      <c r="H146" s="12">
        <v>5</v>
      </c>
      <c r="I146" s="14">
        <v>149.99</v>
      </c>
      <c r="J146" s="12" t="s">
        <v>34</v>
      </c>
      <c r="K146" s="12" t="s">
        <v>21</v>
      </c>
      <c r="L146" s="12" t="s">
        <v>22</v>
      </c>
      <c r="M146" s="13">
        <v>44901</v>
      </c>
      <c r="N146" s="1">
        <v>749.95</v>
      </c>
      <c r="O146" s="12" t="str">
        <f>TEXT(B146,"mmm-yyyy")</f>
        <v>Nov-2024</v>
      </c>
      <c r="P146" s="13">
        <f>EOMONTH(B146,0)</f>
        <v>45626</v>
      </c>
      <c r="Q146" s="12">
        <f ca="1">DATEDIF(M146,TODAY(),"y")</f>
        <v>3</v>
      </c>
      <c r="R146" s="15">
        <f ca="1">NOW()</f>
        <v>46282.345924652778</v>
      </c>
      <c r="S146" s="12" t="str">
        <f>UPPER(LEFT(D146,1)&amp;LEFT(RIGHT(D146,LEN(D146)-FIND(" ",D146)),1))</f>
        <v>SD</v>
      </c>
    </row>
    <row r="147" spans="1:19">
      <c r="A147" s="12" t="s">
        <v>286</v>
      </c>
      <c r="B147" s="13">
        <v>45608</v>
      </c>
      <c r="C147" s="12" t="s">
        <v>83</v>
      </c>
      <c r="D147" s="12" t="s">
        <v>84</v>
      </c>
      <c r="E147" s="12" t="s">
        <v>31</v>
      </c>
      <c r="F147" s="12" t="s">
        <v>32</v>
      </c>
      <c r="G147" s="12" t="s">
        <v>33</v>
      </c>
      <c r="H147" s="12">
        <v>3</v>
      </c>
      <c r="I147" s="14">
        <v>59.99</v>
      </c>
      <c r="J147" s="12" t="s">
        <v>57</v>
      </c>
      <c r="K147" s="12" t="s">
        <v>35</v>
      </c>
      <c r="L147" s="12" t="s">
        <v>36</v>
      </c>
      <c r="M147" s="13">
        <v>45260</v>
      </c>
      <c r="N147" s="1">
        <v>179.97</v>
      </c>
      <c r="O147" s="12" t="str">
        <f>TEXT(B147,"mmm-yyyy")</f>
        <v>Nov-2024</v>
      </c>
      <c r="P147" s="13">
        <f>EOMONTH(B147,0)</f>
        <v>45626</v>
      </c>
      <c r="Q147" s="12">
        <f ca="1">DATEDIF(M147,TODAY(),"y")</f>
        <v>2</v>
      </c>
      <c r="R147" s="15">
        <f ca="1">NOW()</f>
        <v>46282.345924652778</v>
      </c>
      <c r="S147" s="12" t="str">
        <f>UPPER(LEFT(D147,1)&amp;LEFT(RIGHT(D147,LEN(D147)-FIND(" ",D147)),1))</f>
        <v>GA</v>
      </c>
    </row>
    <row r="148" spans="1:19">
      <c r="A148" s="12" t="s">
        <v>287</v>
      </c>
      <c r="B148" s="13">
        <v>45613</v>
      </c>
      <c r="C148" s="12" t="s">
        <v>234</v>
      </c>
      <c r="D148" s="12" t="s">
        <v>235</v>
      </c>
      <c r="E148" s="12" t="s">
        <v>44</v>
      </c>
      <c r="F148" s="12" t="s">
        <v>45</v>
      </c>
      <c r="G148" s="12" t="s">
        <v>46</v>
      </c>
      <c r="H148" s="12">
        <v>5</v>
      </c>
      <c r="I148" s="14">
        <v>149.99</v>
      </c>
      <c r="J148" s="12" t="s">
        <v>20</v>
      </c>
      <c r="K148" s="12" t="s">
        <v>40</v>
      </c>
      <c r="L148" s="12" t="s">
        <v>22</v>
      </c>
      <c r="M148" s="13">
        <v>44869</v>
      </c>
      <c r="N148" s="1">
        <v>749.95</v>
      </c>
      <c r="O148" s="12" t="str">
        <f>TEXT(B148,"mmm-yyyy")</f>
        <v>Nov-2024</v>
      </c>
      <c r="P148" s="13">
        <f>EOMONTH(B148,0)</f>
        <v>45626</v>
      </c>
      <c r="Q148" s="12">
        <f ca="1">DATEDIF(M148,TODAY(),"y")</f>
        <v>3</v>
      </c>
      <c r="R148" s="15">
        <f ca="1">NOW()</f>
        <v>46282.345924652778</v>
      </c>
      <c r="S148" s="12" t="str">
        <f>UPPER(LEFT(D148,1)&amp;LEFT(RIGHT(D148,LEN(D148)-FIND(" ",D148)),1))</f>
        <v>SP</v>
      </c>
    </row>
    <row r="149" spans="1:19">
      <c r="A149" s="12" t="s">
        <v>288</v>
      </c>
      <c r="B149" s="13">
        <v>45613</v>
      </c>
      <c r="C149" s="12" t="s">
        <v>86</v>
      </c>
      <c r="D149" s="12" t="s">
        <v>87</v>
      </c>
      <c r="E149" s="12" t="s">
        <v>80</v>
      </c>
      <c r="F149" s="12" t="s">
        <v>81</v>
      </c>
      <c r="G149" s="12" t="s">
        <v>19</v>
      </c>
      <c r="H149" s="12">
        <v>2</v>
      </c>
      <c r="I149" s="14">
        <v>699.99</v>
      </c>
      <c r="J149" s="12" t="s">
        <v>34</v>
      </c>
      <c r="K149" s="12" t="s">
        <v>50</v>
      </c>
      <c r="L149" s="12" t="s">
        <v>36</v>
      </c>
      <c r="M149" s="13">
        <v>44770</v>
      </c>
      <c r="N149" s="1">
        <v>1399.98</v>
      </c>
      <c r="O149" s="12" t="str">
        <f>TEXT(B149,"mmm-yyyy")</f>
        <v>Nov-2024</v>
      </c>
      <c r="P149" s="13">
        <f>EOMONTH(B149,0)</f>
        <v>45626</v>
      </c>
      <c r="Q149" s="12">
        <f ca="1">DATEDIF(M149,TODAY(),"y")</f>
        <v>4</v>
      </c>
      <c r="R149" s="15">
        <f ca="1">NOW()</f>
        <v>46282.345924652778</v>
      </c>
      <c r="S149" s="12" t="str">
        <f>UPPER(LEFT(D149,1)&amp;LEFT(RIGHT(D149,LEN(D149)-FIND(" ",D149)),1))</f>
        <v>MC</v>
      </c>
    </row>
    <row r="150" spans="1:19">
      <c r="A150" s="12" t="s">
        <v>289</v>
      </c>
      <c r="B150" s="13">
        <v>45617</v>
      </c>
      <c r="C150" s="12" t="s">
        <v>123</v>
      </c>
      <c r="D150" s="12" t="s">
        <v>124</v>
      </c>
      <c r="E150" s="12" t="s">
        <v>126</v>
      </c>
      <c r="F150" s="12" t="s">
        <v>127</v>
      </c>
      <c r="G150" s="12" t="s">
        <v>46</v>
      </c>
      <c r="H150" s="12">
        <v>4</v>
      </c>
      <c r="I150" s="14">
        <v>199.99</v>
      </c>
      <c r="J150" s="12" t="s">
        <v>57</v>
      </c>
      <c r="K150" s="12" t="s">
        <v>21</v>
      </c>
      <c r="L150" s="12" t="s">
        <v>27</v>
      </c>
      <c r="M150" s="13">
        <v>44427</v>
      </c>
      <c r="N150" s="1">
        <v>799.96</v>
      </c>
      <c r="O150" s="12" t="str">
        <f>TEXT(B150,"mmm-yyyy")</f>
        <v>Nov-2024</v>
      </c>
      <c r="P150" s="13">
        <f>EOMONTH(B150,0)</f>
        <v>45626</v>
      </c>
      <c r="Q150" s="12">
        <f ca="1">DATEDIF(M150,TODAY(),"y")</f>
        <v>5</v>
      </c>
      <c r="R150" s="15">
        <f ca="1">NOW()</f>
        <v>46282.345924652778</v>
      </c>
      <c r="S150" s="12" t="str">
        <f>UPPER(LEFT(D150,1)&amp;LEFT(RIGHT(D150,LEN(D150)-FIND(" ",D150)),1))</f>
        <v>EM</v>
      </c>
    </row>
    <row r="151" spans="1:19">
      <c r="A151" s="12" t="s">
        <v>290</v>
      </c>
      <c r="B151" s="13">
        <v>45619</v>
      </c>
      <c r="C151" s="12" t="s">
        <v>192</v>
      </c>
      <c r="D151" s="12" t="s">
        <v>193</v>
      </c>
      <c r="E151" s="12" t="s">
        <v>31</v>
      </c>
      <c r="F151" s="12" t="s">
        <v>32</v>
      </c>
      <c r="G151" s="12" t="s">
        <v>33</v>
      </c>
      <c r="H151" s="12">
        <v>1</v>
      </c>
      <c r="I151" s="14">
        <v>59.99</v>
      </c>
      <c r="J151" s="12" t="s">
        <v>57</v>
      </c>
      <c r="K151" s="12" t="s">
        <v>50</v>
      </c>
      <c r="L151" s="12" t="s">
        <v>36</v>
      </c>
      <c r="M151" s="13">
        <v>44560</v>
      </c>
      <c r="N151" s="1">
        <v>59.99</v>
      </c>
      <c r="O151" s="12" t="str">
        <f>TEXT(B151,"mmm-yyyy")</f>
        <v>Nov-2024</v>
      </c>
      <c r="P151" s="13">
        <f>EOMONTH(B151,0)</f>
        <v>45626</v>
      </c>
      <c r="Q151" s="12">
        <f ca="1">DATEDIF(M151,TODAY(),"y")</f>
        <v>4</v>
      </c>
      <c r="R151" s="15">
        <f ca="1">NOW()</f>
        <v>46282.345924652778</v>
      </c>
      <c r="S151" s="12" t="str">
        <f>UPPER(LEFT(D151,1)&amp;LEFT(RIGHT(D151,LEN(D151)-FIND(" ",D151)),1))</f>
        <v>FT</v>
      </c>
    </row>
    <row r="152" spans="1:19">
      <c r="A152" s="12" t="s">
        <v>291</v>
      </c>
      <c r="B152" s="13">
        <v>45619</v>
      </c>
      <c r="C152" s="12" t="s">
        <v>154</v>
      </c>
      <c r="D152" s="12" t="s">
        <v>155</v>
      </c>
      <c r="E152" s="12" t="s">
        <v>80</v>
      </c>
      <c r="F152" s="12" t="s">
        <v>81</v>
      </c>
      <c r="G152" s="12" t="s">
        <v>19</v>
      </c>
      <c r="H152" s="12">
        <v>3</v>
      </c>
      <c r="I152" s="14">
        <v>699.99</v>
      </c>
      <c r="J152" s="12" t="s">
        <v>34</v>
      </c>
      <c r="K152" s="12" t="s">
        <v>50</v>
      </c>
      <c r="L152" s="12" t="s">
        <v>36</v>
      </c>
      <c r="M152" s="13">
        <v>44583</v>
      </c>
      <c r="N152" s="1">
        <v>2099.9699999999998</v>
      </c>
      <c r="O152" s="12" t="str">
        <f>TEXT(B152,"mmm-yyyy")</f>
        <v>Nov-2024</v>
      </c>
      <c r="P152" s="13">
        <f>EOMONTH(B152,0)</f>
        <v>45626</v>
      </c>
      <c r="Q152" s="12">
        <f ca="1">DATEDIF(M152,TODAY(),"y")</f>
        <v>4</v>
      </c>
      <c r="R152" s="15">
        <f ca="1">NOW()</f>
        <v>46282.345924652778</v>
      </c>
      <c r="S152" s="12" t="str">
        <f>UPPER(LEFT(D152,1)&amp;LEFT(RIGHT(D152,LEN(D152)-FIND(" ",D152)),1))</f>
        <v>SD</v>
      </c>
    </row>
    <row r="153" spans="1:19">
      <c r="A153" s="12" t="s">
        <v>292</v>
      </c>
      <c r="B153" s="13">
        <v>45622</v>
      </c>
      <c r="C153" s="12" t="s">
        <v>293</v>
      </c>
      <c r="D153" s="12" t="s">
        <v>294</v>
      </c>
      <c r="E153" s="12" t="s">
        <v>17</v>
      </c>
      <c r="F153" s="12" t="s">
        <v>18</v>
      </c>
      <c r="G153" s="12" t="s">
        <v>19</v>
      </c>
      <c r="H153" s="12">
        <v>5</v>
      </c>
      <c r="I153" s="14">
        <v>249.99</v>
      </c>
      <c r="J153" s="12" t="s">
        <v>26</v>
      </c>
      <c r="K153" s="12" t="s">
        <v>40</v>
      </c>
      <c r="L153" s="12" t="s">
        <v>22</v>
      </c>
      <c r="M153" s="13">
        <v>44873</v>
      </c>
      <c r="N153" s="1">
        <v>1249.95</v>
      </c>
      <c r="O153" s="12" t="str">
        <f>TEXT(B153,"mmm-yyyy")</f>
        <v>Nov-2024</v>
      </c>
      <c r="P153" s="13">
        <f>EOMONTH(B153,0)</f>
        <v>45626</v>
      </c>
      <c r="Q153" s="12">
        <f ca="1">DATEDIF(M153,TODAY(),"y")</f>
        <v>3</v>
      </c>
      <c r="R153" s="15">
        <f ca="1">NOW()</f>
        <v>46282.345924652778</v>
      </c>
      <c r="S153" s="12" t="str">
        <f>UPPER(LEFT(D153,1)&amp;LEFT(RIGHT(D153,LEN(D153)-FIND(" ",D153)),1))</f>
        <v>DW</v>
      </c>
    </row>
    <row r="154" spans="1:19">
      <c r="A154" s="12" t="s">
        <v>295</v>
      </c>
      <c r="B154" s="13">
        <v>45623</v>
      </c>
      <c r="C154" s="12" t="s">
        <v>112</v>
      </c>
      <c r="D154" s="12" t="s">
        <v>113</v>
      </c>
      <c r="E154" s="12" t="s">
        <v>44</v>
      </c>
      <c r="F154" s="12" t="s">
        <v>45</v>
      </c>
      <c r="G154" s="12" t="s">
        <v>46</v>
      </c>
      <c r="H154" s="12">
        <v>2</v>
      </c>
      <c r="I154" s="14">
        <v>149.99</v>
      </c>
      <c r="J154" s="12" t="s">
        <v>20</v>
      </c>
      <c r="K154" s="12" t="s">
        <v>35</v>
      </c>
      <c r="L154" s="12" t="s">
        <v>36</v>
      </c>
      <c r="M154" s="13">
        <v>45101</v>
      </c>
      <c r="N154" s="1">
        <v>299.98</v>
      </c>
      <c r="O154" s="12" t="str">
        <f>TEXT(B154,"mmm-yyyy")</f>
        <v>Nov-2024</v>
      </c>
      <c r="P154" s="13">
        <f>EOMONTH(B154,0)</f>
        <v>45626</v>
      </c>
      <c r="Q154" s="12">
        <f ca="1">DATEDIF(M154,TODAY(),"y")</f>
        <v>3</v>
      </c>
      <c r="R154" s="15">
        <f ca="1">NOW()</f>
        <v>46282.345924652778</v>
      </c>
      <c r="S154" s="12" t="str">
        <f>UPPER(LEFT(D154,1)&amp;LEFT(RIGHT(D154,LEN(D154)-FIND(" ",D154)),1))</f>
        <v>LM</v>
      </c>
    </row>
    <row r="155" spans="1:19">
      <c r="A155" s="12" t="s">
        <v>296</v>
      </c>
      <c r="B155" s="13">
        <v>45627</v>
      </c>
      <c r="C155" s="12" t="s">
        <v>29</v>
      </c>
      <c r="D155" s="12" t="s">
        <v>30</v>
      </c>
      <c r="E155" s="12" t="s">
        <v>105</v>
      </c>
      <c r="F155" s="12" t="s">
        <v>106</v>
      </c>
      <c r="G155" s="12" t="s">
        <v>46</v>
      </c>
      <c r="H155" s="12">
        <v>3</v>
      </c>
      <c r="I155" s="14">
        <v>299.99</v>
      </c>
      <c r="J155" s="12" t="s">
        <v>20</v>
      </c>
      <c r="K155" s="12" t="s">
        <v>35</v>
      </c>
      <c r="L155" s="12" t="s">
        <v>27</v>
      </c>
      <c r="M155" s="13">
        <v>44659</v>
      </c>
      <c r="N155" s="1">
        <v>899.97</v>
      </c>
      <c r="O155" s="12" t="str">
        <f>TEXT(B155,"mmm-yyyy")</f>
        <v>Dec-2024</v>
      </c>
      <c r="P155" s="13">
        <f>EOMONTH(B155,0)</f>
        <v>45657</v>
      </c>
      <c r="Q155" s="12">
        <f ca="1">DATEDIF(M155,TODAY(),"y")</f>
        <v>4</v>
      </c>
      <c r="R155" s="15">
        <f ca="1">NOW()</f>
        <v>46282.345924652778</v>
      </c>
      <c r="S155" s="12" t="str">
        <f>UPPER(LEFT(D155,1)&amp;LEFT(RIGHT(D155,LEN(D155)-FIND(" ",D155)),1))</f>
        <v>KS</v>
      </c>
    </row>
    <row r="156" spans="1:19">
      <c r="A156" s="12" t="s">
        <v>297</v>
      </c>
      <c r="B156" s="13">
        <v>45627</v>
      </c>
      <c r="C156" s="12" t="s">
        <v>55</v>
      </c>
      <c r="D156" s="12" t="s">
        <v>56</v>
      </c>
      <c r="E156" s="12" t="s">
        <v>17</v>
      </c>
      <c r="F156" s="12" t="s">
        <v>18</v>
      </c>
      <c r="G156" s="12" t="s">
        <v>19</v>
      </c>
      <c r="H156" s="12">
        <v>5</v>
      </c>
      <c r="I156" s="14">
        <v>249.99</v>
      </c>
      <c r="J156" s="12" t="s">
        <v>20</v>
      </c>
      <c r="K156" s="12" t="s">
        <v>21</v>
      </c>
      <c r="L156" s="12" t="s">
        <v>27</v>
      </c>
      <c r="M156" s="13">
        <v>44485</v>
      </c>
      <c r="N156" s="1">
        <v>1249.95</v>
      </c>
      <c r="O156" s="12" t="str">
        <f>TEXT(B156,"mmm-yyyy")</f>
        <v>Dec-2024</v>
      </c>
      <c r="P156" s="13">
        <f>EOMONTH(B156,0)</f>
        <v>45657</v>
      </c>
      <c r="Q156" s="12">
        <f ca="1">DATEDIF(M156,TODAY(),"y")</f>
        <v>4</v>
      </c>
      <c r="R156" s="15">
        <f ca="1">NOW()</f>
        <v>46282.345924652778</v>
      </c>
      <c r="S156" s="12" t="str">
        <f>UPPER(LEFT(D156,1)&amp;LEFT(RIGHT(D156,LEN(D156)-FIND(" ",D156)),1))</f>
        <v>CA</v>
      </c>
    </row>
    <row r="157" spans="1:19">
      <c r="A157" s="12" t="s">
        <v>298</v>
      </c>
      <c r="B157" s="13">
        <v>45627</v>
      </c>
      <c r="C157" s="12" t="s">
        <v>24</v>
      </c>
      <c r="D157" s="12" t="s">
        <v>25</v>
      </c>
      <c r="E157" s="12" t="s">
        <v>52</v>
      </c>
      <c r="F157" s="12" t="s">
        <v>53</v>
      </c>
      <c r="G157" s="12" t="s">
        <v>19</v>
      </c>
      <c r="H157" s="12">
        <v>2</v>
      </c>
      <c r="I157" s="14">
        <v>149.99</v>
      </c>
      <c r="J157" s="12" t="s">
        <v>20</v>
      </c>
      <c r="K157" s="12" t="s">
        <v>35</v>
      </c>
      <c r="L157" s="12" t="s">
        <v>27</v>
      </c>
      <c r="M157" s="13">
        <v>44475</v>
      </c>
      <c r="N157" s="1">
        <v>299.98</v>
      </c>
      <c r="O157" s="12" t="str">
        <f>TEXT(B157,"mmm-yyyy")</f>
        <v>Dec-2024</v>
      </c>
      <c r="P157" s="13">
        <f>EOMONTH(B157,0)</f>
        <v>45657</v>
      </c>
      <c r="Q157" s="12">
        <f ca="1">DATEDIF(M157,TODAY(),"y")</f>
        <v>4</v>
      </c>
      <c r="R157" s="15">
        <f ca="1">NOW()</f>
        <v>46282.345924652778</v>
      </c>
      <c r="S157" s="12" t="str">
        <f>UPPER(LEFT(D157,1)&amp;LEFT(RIGHT(D157,LEN(D157)-FIND(" ",D157)),1))</f>
        <v>JJ</v>
      </c>
    </row>
    <row r="158" spans="1:19">
      <c r="A158" s="12" t="s">
        <v>299</v>
      </c>
      <c r="B158" s="13">
        <v>45627</v>
      </c>
      <c r="C158" s="12" t="s">
        <v>86</v>
      </c>
      <c r="D158" s="12" t="s">
        <v>87</v>
      </c>
      <c r="E158" s="12" t="s">
        <v>80</v>
      </c>
      <c r="F158" s="12" t="s">
        <v>81</v>
      </c>
      <c r="G158" s="12" t="s">
        <v>19</v>
      </c>
      <c r="H158" s="12">
        <v>5</v>
      </c>
      <c r="I158" s="14">
        <v>699.99</v>
      </c>
      <c r="J158" s="12" t="s">
        <v>57</v>
      </c>
      <c r="K158" s="12" t="s">
        <v>50</v>
      </c>
      <c r="L158" s="12" t="s">
        <v>36</v>
      </c>
      <c r="M158" s="13">
        <v>44944</v>
      </c>
      <c r="N158" s="1">
        <v>3499.95</v>
      </c>
      <c r="O158" s="12" t="str">
        <f>TEXT(B158,"mmm-yyyy")</f>
        <v>Dec-2024</v>
      </c>
      <c r="P158" s="13">
        <f>EOMONTH(B158,0)</f>
        <v>45657</v>
      </c>
      <c r="Q158" s="12">
        <f ca="1">DATEDIF(M158,TODAY(),"y")</f>
        <v>3</v>
      </c>
      <c r="R158" s="15">
        <f ca="1">NOW()</f>
        <v>46282.345924652778</v>
      </c>
      <c r="S158" s="12" t="str">
        <f>UPPER(LEFT(D158,1)&amp;LEFT(RIGHT(D158,LEN(D158)-FIND(" ",D158)),1))</f>
        <v>MC</v>
      </c>
    </row>
    <row r="159" spans="1:19">
      <c r="A159" s="12" t="s">
        <v>300</v>
      </c>
      <c r="B159" s="13">
        <v>45629</v>
      </c>
      <c r="C159" s="12" t="s">
        <v>252</v>
      </c>
      <c r="D159" s="12" t="s">
        <v>253</v>
      </c>
      <c r="E159" s="12" t="s">
        <v>17</v>
      </c>
      <c r="F159" s="12" t="s">
        <v>18</v>
      </c>
      <c r="G159" s="12" t="s">
        <v>19</v>
      </c>
      <c r="H159" s="12">
        <v>4</v>
      </c>
      <c r="I159" s="14">
        <v>249.99</v>
      </c>
      <c r="J159" s="12" t="s">
        <v>34</v>
      </c>
      <c r="K159" s="12" t="s">
        <v>63</v>
      </c>
      <c r="L159" s="12" t="s">
        <v>27</v>
      </c>
      <c r="M159" s="13">
        <v>45098</v>
      </c>
      <c r="N159" s="1">
        <v>999.96</v>
      </c>
      <c r="O159" s="12" t="str">
        <f>TEXT(B159,"mmm-yyyy")</f>
        <v>Dec-2024</v>
      </c>
      <c r="P159" s="13">
        <f>EOMONTH(B159,0)</f>
        <v>45657</v>
      </c>
      <c r="Q159" s="12">
        <f ca="1">DATEDIF(M159,TODAY(),"y")</f>
        <v>3</v>
      </c>
      <c r="R159" s="15">
        <f ca="1">NOW()</f>
        <v>46282.345924652778</v>
      </c>
      <c r="S159" s="12" t="str">
        <f>UPPER(LEFT(D159,1)&amp;LEFT(RIGHT(D159,LEN(D159)-FIND(" ",D159)),1))</f>
        <v>WW</v>
      </c>
    </row>
    <row r="160" spans="1:19">
      <c r="A160" s="12" t="s">
        <v>301</v>
      </c>
      <c r="B160" s="13">
        <v>45630</v>
      </c>
      <c r="C160" s="12" t="s">
        <v>48</v>
      </c>
      <c r="D160" s="12" t="s">
        <v>49</v>
      </c>
      <c r="E160" s="12" t="s">
        <v>80</v>
      </c>
      <c r="F160" s="12" t="s">
        <v>81</v>
      </c>
      <c r="G160" s="12" t="s">
        <v>19</v>
      </c>
      <c r="H160" s="12">
        <v>4</v>
      </c>
      <c r="I160" s="14">
        <v>699.99</v>
      </c>
      <c r="J160" s="12" t="s">
        <v>26</v>
      </c>
      <c r="K160" s="12" t="s">
        <v>40</v>
      </c>
      <c r="L160" s="12" t="s">
        <v>27</v>
      </c>
      <c r="M160" s="13">
        <v>44703</v>
      </c>
      <c r="N160" s="1">
        <v>2799.96</v>
      </c>
      <c r="O160" s="12" t="str">
        <f>TEXT(B160,"mmm-yyyy")</f>
        <v>Dec-2024</v>
      </c>
      <c r="P160" s="13">
        <f>EOMONTH(B160,0)</f>
        <v>45657</v>
      </c>
      <c r="Q160" s="12">
        <f ca="1">DATEDIF(M160,TODAY(),"y")</f>
        <v>4</v>
      </c>
      <c r="R160" s="15">
        <f ca="1">NOW()</f>
        <v>46282.345924652778</v>
      </c>
      <c r="S160" s="12" t="str">
        <f>UPPER(LEFT(D160,1)&amp;LEFT(RIGHT(D160,LEN(D160)-FIND(" ",D160)),1))</f>
        <v>DN</v>
      </c>
    </row>
    <row r="161" spans="1:19">
      <c r="A161" s="12" t="s">
        <v>302</v>
      </c>
      <c r="B161" s="13">
        <v>45635</v>
      </c>
      <c r="C161" s="12" t="s">
        <v>108</v>
      </c>
      <c r="D161" s="12" t="s">
        <v>109</v>
      </c>
      <c r="E161" s="12" t="s">
        <v>17</v>
      </c>
      <c r="F161" s="12" t="s">
        <v>18</v>
      </c>
      <c r="G161" s="12" t="s">
        <v>19</v>
      </c>
      <c r="H161" s="12">
        <v>2</v>
      </c>
      <c r="I161" s="14">
        <v>249.99</v>
      </c>
      <c r="J161" s="12" t="s">
        <v>26</v>
      </c>
      <c r="K161" s="12" t="s">
        <v>21</v>
      </c>
      <c r="L161" s="12" t="s">
        <v>27</v>
      </c>
      <c r="M161" s="13">
        <v>44396</v>
      </c>
      <c r="N161" s="1">
        <v>499.98</v>
      </c>
      <c r="O161" s="12" t="str">
        <f>TEXT(B161,"mmm-yyyy")</f>
        <v>Dec-2024</v>
      </c>
      <c r="P161" s="13">
        <f>EOMONTH(B161,0)</f>
        <v>45657</v>
      </c>
      <c r="Q161" s="12">
        <f ca="1">DATEDIF(M161,TODAY(),"y")</f>
        <v>5</v>
      </c>
      <c r="R161" s="15">
        <f ca="1">NOW()</f>
        <v>46282.345924652778</v>
      </c>
      <c r="S161" s="12" t="str">
        <f>UPPER(LEFT(D161,1)&amp;LEFT(RIGHT(D161,LEN(D161)-FIND(" ",D161)),1))</f>
        <v>NC</v>
      </c>
    </row>
    <row r="162" spans="1:19">
      <c r="A162" s="12" t="s">
        <v>303</v>
      </c>
      <c r="B162" s="13">
        <v>45635</v>
      </c>
      <c r="C162" s="12" t="s">
        <v>304</v>
      </c>
      <c r="D162" s="12" t="s">
        <v>305</v>
      </c>
      <c r="E162" s="12" t="s">
        <v>31</v>
      </c>
      <c r="F162" s="12" t="s">
        <v>32</v>
      </c>
      <c r="G162" s="12" t="s">
        <v>33</v>
      </c>
      <c r="H162" s="12">
        <v>3</v>
      </c>
      <c r="I162" s="14">
        <v>59.99</v>
      </c>
      <c r="J162" s="12" t="s">
        <v>20</v>
      </c>
      <c r="K162" s="12" t="s">
        <v>21</v>
      </c>
      <c r="L162" s="12" t="s">
        <v>27</v>
      </c>
      <c r="M162" s="13">
        <v>45052</v>
      </c>
      <c r="N162" s="1">
        <v>179.97</v>
      </c>
      <c r="O162" s="12" t="str">
        <f>TEXT(B162,"mmm-yyyy")</f>
        <v>Dec-2024</v>
      </c>
      <c r="P162" s="13">
        <f>EOMONTH(B162,0)</f>
        <v>45657</v>
      </c>
      <c r="Q162" s="12">
        <f ca="1">DATEDIF(M162,TODAY(),"y")</f>
        <v>3</v>
      </c>
      <c r="R162" s="15">
        <f ca="1">NOW()</f>
        <v>46282.345924652778</v>
      </c>
      <c r="S162" s="12" t="str">
        <f>UPPER(LEFT(D162,1)&amp;LEFT(RIGHT(D162,LEN(D162)-FIND(" ",D162)),1))</f>
        <v>JJ</v>
      </c>
    </row>
    <row r="163" spans="1:19">
      <c r="A163" s="12" t="s">
        <v>306</v>
      </c>
      <c r="B163" s="13">
        <v>45635</v>
      </c>
      <c r="C163" s="12" t="s">
        <v>141</v>
      </c>
      <c r="D163" s="12" t="s">
        <v>142</v>
      </c>
      <c r="E163" s="12" t="s">
        <v>114</v>
      </c>
      <c r="F163" s="12" t="s">
        <v>115</v>
      </c>
      <c r="G163" s="12" t="s">
        <v>33</v>
      </c>
      <c r="H163" s="12">
        <v>4</v>
      </c>
      <c r="I163" s="14">
        <v>79.989999999999995</v>
      </c>
      <c r="J163" s="12" t="s">
        <v>57</v>
      </c>
      <c r="K163" s="12" t="s">
        <v>63</v>
      </c>
      <c r="L163" s="12" t="s">
        <v>36</v>
      </c>
      <c r="M163" s="13">
        <v>44921</v>
      </c>
      <c r="N163" s="1">
        <v>319.95999999999998</v>
      </c>
      <c r="O163" s="12" t="str">
        <f>TEXT(B163,"mmm-yyyy")</f>
        <v>Dec-2024</v>
      </c>
      <c r="P163" s="13">
        <f>EOMONTH(B163,0)</f>
        <v>45657</v>
      </c>
      <c r="Q163" s="12">
        <f ca="1">DATEDIF(M163,TODAY(),"y")</f>
        <v>3</v>
      </c>
      <c r="R163" s="15">
        <f ca="1">NOW()</f>
        <v>46282.345924652778</v>
      </c>
      <c r="S163" s="12" t="str">
        <f>UPPER(LEFT(D163,1)&amp;LEFT(RIGHT(D163,LEN(D163)-FIND(" ",D163)),1))</f>
        <v>JT</v>
      </c>
    </row>
    <row r="164" spans="1:19">
      <c r="A164" s="12" t="s">
        <v>307</v>
      </c>
      <c r="B164" s="13">
        <v>45636</v>
      </c>
      <c r="C164" s="12" t="s">
        <v>120</v>
      </c>
      <c r="D164" s="12" t="s">
        <v>121</v>
      </c>
      <c r="E164" s="12" t="s">
        <v>114</v>
      </c>
      <c r="F164" s="12" t="s">
        <v>115</v>
      </c>
      <c r="G164" s="12" t="s">
        <v>33</v>
      </c>
      <c r="H164" s="12">
        <v>3</v>
      </c>
      <c r="I164" s="14">
        <v>79.989999999999995</v>
      </c>
      <c r="J164" s="12" t="s">
        <v>57</v>
      </c>
      <c r="K164" s="12" t="s">
        <v>63</v>
      </c>
      <c r="L164" s="12" t="s">
        <v>36</v>
      </c>
      <c r="M164" s="13">
        <v>44779</v>
      </c>
      <c r="N164" s="1">
        <v>239.97</v>
      </c>
      <c r="O164" s="12" t="str">
        <f>TEXT(B164,"mmm-yyyy")</f>
        <v>Dec-2024</v>
      </c>
      <c r="P164" s="13">
        <f>EOMONTH(B164,0)</f>
        <v>45657</v>
      </c>
      <c r="Q164" s="12">
        <f ca="1">DATEDIF(M164,TODAY(),"y")</f>
        <v>4</v>
      </c>
      <c r="R164" s="15">
        <f ca="1">NOW()</f>
        <v>46282.345924652778</v>
      </c>
      <c r="S164" s="12" t="str">
        <f>UPPER(LEFT(D164,1)&amp;LEFT(RIGHT(D164,LEN(D164)-FIND(" ",D164)),1))</f>
        <v>HR</v>
      </c>
    </row>
    <row r="165" spans="1:19">
      <c r="A165" s="12" t="s">
        <v>308</v>
      </c>
      <c r="B165" s="13">
        <v>45638</v>
      </c>
      <c r="C165" s="12" t="s">
        <v>72</v>
      </c>
      <c r="D165" s="12" t="s">
        <v>73</v>
      </c>
      <c r="E165" s="12" t="s">
        <v>61</v>
      </c>
      <c r="F165" s="12" t="s">
        <v>62</v>
      </c>
      <c r="G165" s="12" t="s">
        <v>19</v>
      </c>
      <c r="H165" s="12">
        <v>2</v>
      </c>
      <c r="I165" s="14">
        <v>899.99</v>
      </c>
      <c r="J165" s="12" t="s">
        <v>20</v>
      </c>
      <c r="K165" s="12" t="s">
        <v>40</v>
      </c>
      <c r="L165" s="12" t="s">
        <v>22</v>
      </c>
      <c r="M165" s="13">
        <v>44406</v>
      </c>
      <c r="N165" s="1">
        <v>1799.98</v>
      </c>
      <c r="O165" s="12" t="str">
        <f>TEXT(B165,"mmm-yyyy")</f>
        <v>Dec-2024</v>
      </c>
      <c r="P165" s="13">
        <f>EOMONTH(B165,0)</f>
        <v>45657</v>
      </c>
      <c r="Q165" s="12">
        <f ca="1">DATEDIF(M165,TODAY(),"y")</f>
        <v>5</v>
      </c>
      <c r="R165" s="15">
        <f ca="1">NOW()</f>
        <v>46282.345924652778</v>
      </c>
      <c r="S165" s="12" t="str">
        <f>UPPER(LEFT(D165,1)&amp;LEFT(RIGHT(D165,LEN(D165)-FIND(" ",D165)),1))</f>
        <v>PR</v>
      </c>
    </row>
    <row r="166" spans="1:19">
      <c r="A166" s="12" t="s">
        <v>309</v>
      </c>
      <c r="B166" s="13">
        <v>45641</v>
      </c>
      <c r="C166" s="12" t="s">
        <v>182</v>
      </c>
      <c r="D166" s="12" t="s">
        <v>183</v>
      </c>
      <c r="E166" s="12" t="s">
        <v>44</v>
      </c>
      <c r="F166" s="12" t="s">
        <v>45</v>
      </c>
      <c r="G166" s="12" t="s">
        <v>46</v>
      </c>
      <c r="H166" s="12">
        <v>1</v>
      </c>
      <c r="I166" s="14">
        <v>149.99</v>
      </c>
      <c r="J166" s="12" t="s">
        <v>57</v>
      </c>
      <c r="K166" s="12" t="s">
        <v>63</v>
      </c>
      <c r="L166" s="12" t="s">
        <v>36</v>
      </c>
      <c r="M166" s="13">
        <v>45200</v>
      </c>
      <c r="N166" s="1">
        <v>149.99</v>
      </c>
      <c r="O166" s="12" t="str">
        <f>TEXT(B166,"mmm-yyyy")</f>
        <v>Dec-2024</v>
      </c>
      <c r="P166" s="13">
        <f>EOMONTH(B166,0)</f>
        <v>45657</v>
      </c>
      <c r="Q166" s="12">
        <f ca="1">DATEDIF(M166,TODAY(),"y")</f>
        <v>2</v>
      </c>
      <c r="R166" s="15">
        <f ca="1">NOW()</f>
        <v>46282.345924652778</v>
      </c>
      <c r="S166" s="12" t="str">
        <f>UPPER(LEFT(D166,1)&amp;LEFT(RIGHT(D166,LEN(D166)-FIND(" ",D166)),1))</f>
        <v>DM</v>
      </c>
    </row>
    <row r="167" spans="1:19">
      <c r="A167" s="12" t="s">
        <v>310</v>
      </c>
      <c r="B167" s="13">
        <v>45641</v>
      </c>
      <c r="C167" s="12" t="s">
        <v>138</v>
      </c>
      <c r="D167" s="12" t="s">
        <v>139</v>
      </c>
      <c r="E167" s="12" t="s">
        <v>105</v>
      </c>
      <c r="F167" s="12" t="s">
        <v>106</v>
      </c>
      <c r="G167" s="12" t="s">
        <v>46</v>
      </c>
      <c r="H167" s="12">
        <v>2</v>
      </c>
      <c r="I167" s="14">
        <v>299.99</v>
      </c>
      <c r="J167" s="12" t="s">
        <v>20</v>
      </c>
      <c r="K167" s="12" t="s">
        <v>63</v>
      </c>
      <c r="L167" s="12" t="s">
        <v>27</v>
      </c>
      <c r="M167" s="13">
        <v>44724</v>
      </c>
      <c r="N167" s="1">
        <v>599.98</v>
      </c>
      <c r="O167" s="12" t="str">
        <f>TEXT(B167,"mmm-yyyy")</f>
        <v>Dec-2024</v>
      </c>
      <c r="P167" s="13">
        <f>EOMONTH(B167,0)</f>
        <v>45657</v>
      </c>
      <c r="Q167" s="12">
        <f ca="1">DATEDIF(M167,TODAY(),"y")</f>
        <v>4</v>
      </c>
      <c r="R167" s="15">
        <f ca="1">NOW()</f>
        <v>46282.345924652778</v>
      </c>
      <c r="S167" s="12" t="str">
        <f>UPPER(LEFT(D167,1)&amp;LEFT(RIGHT(D167,LEN(D167)-FIND(" ",D167)),1))</f>
        <v>ST</v>
      </c>
    </row>
    <row r="168" spans="1:19">
      <c r="A168" s="12" t="s">
        <v>311</v>
      </c>
      <c r="B168" s="13">
        <v>45644</v>
      </c>
      <c r="C168" s="12" t="s">
        <v>132</v>
      </c>
      <c r="D168" s="12" t="s">
        <v>133</v>
      </c>
      <c r="E168" s="12" t="s">
        <v>31</v>
      </c>
      <c r="F168" s="12" t="s">
        <v>32</v>
      </c>
      <c r="G168" s="12" t="s">
        <v>33</v>
      </c>
      <c r="H168" s="12">
        <v>2</v>
      </c>
      <c r="I168" s="14">
        <v>59.99</v>
      </c>
      <c r="J168" s="12" t="s">
        <v>20</v>
      </c>
      <c r="K168" s="12" t="s">
        <v>50</v>
      </c>
      <c r="L168" s="12" t="s">
        <v>22</v>
      </c>
      <c r="M168" s="13">
        <v>45191</v>
      </c>
      <c r="N168" s="1">
        <v>119.98</v>
      </c>
      <c r="O168" s="12" t="str">
        <f>TEXT(B168,"mmm-yyyy")</f>
        <v>Dec-2024</v>
      </c>
      <c r="P168" s="13">
        <f>EOMONTH(B168,0)</f>
        <v>45657</v>
      </c>
      <c r="Q168" s="12">
        <f ca="1">DATEDIF(M168,TODAY(),"y")</f>
        <v>2</v>
      </c>
      <c r="R168" s="15">
        <f ca="1">NOW()</f>
        <v>46282.345924652778</v>
      </c>
      <c r="S168" s="12" t="str">
        <f>UPPER(LEFT(D168,1)&amp;LEFT(RIGHT(D168,LEN(D168)-FIND(" ",D168)),1))</f>
        <v>EW</v>
      </c>
    </row>
    <row r="169" spans="1:19">
      <c r="A169" s="12" t="s">
        <v>312</v>
      </c>
      <c r="B169" s="13">
        <v>45645</v>
      </c>
      <c r="C169" s="12" t="s">
        <v>182</v>
      </c>
      <c r="D169" s="12" t="s">
        <v>183</v>
      </c>
      <c r="E169" s="12" t="s">
        <v>117</v>
      </c>
      <c r="F169" s="12" t="s">
        <v>118</v>
      </c>
      <c r="G169" s="12" t="s">
        <v>19</v>
      </c>
      <c r="H169" s="12">
        <v>1</v>
      </c>
      <c r="I169" s="14">
        <v>89.99</v>
      </c>
      <c r="J169" s="12" t="s">
        <v>57</v>
      </c>
      <c r="K169" s="12" t="s">
        <v>21</v>
      </c>
      <c r="L169" s="12" t="s">
        <v>36</v>
      </c>
      <c r="M169" s="13">
        <v>44760</v>
      </c>
      <c r="N169" s="1">
        <v>89.99</v>
      </c>
      <c r="O169" s="12" t="str">
        <f>TEXT(B169,"mmm-yyyy")</f>
        <v>Dec-2024</v>
      </c>
      <c r="P169" s="13">
        <f>EOMONTH(B169,0)</f>
        <v>45657</v>
      </c>
      <c r="Q169" s="12">
        <f ca="1">DATEDIF(M169,TODAY(),"y")</f>
        <v>4</v>
      </c>
      <c r="R169" s="15">
        <f ca="1">NOW()</f>
        <v>46282.345924652778</v>
      </c>
      <c r="S169" s="12" t="str">
        <f>UPPER(LEFT(D169,1)&amp;LEFT(RIGHT(D169,LEN(D169)-FIND(" ",D169)),1))</f>
        <v>DM</v>
      </c>
    </row>
    <row r="170" spans="1:19">
      <c r="A170" s="12" t="s">
        <v>313</v>
      </c>
      <c r="B170" s="13">
        <v>45645</v>
      </c>
      <c r="C170" s="12" t="s">
        <v>147</v>
      </c>
      <c r="D170" s="12" t="s">
        <v>148</v>
      </c>
      <c r="E170" s="12" t="s">
        <v>61</v>
      </c>
      <c r="F170" s="12" t="s">
        <v>62</v>
      </c>
      <c r="G170" s="12" t="s">
        <v>19</v>
      </c>
      <c r="H170" s="12">
        <v>5</v>
      </c>
      <c r="I170" s="14">
        <v>899.99</v>
      </c>
      <c r="J170" s="12" t="s">
        <v>57</v>
      </c>
      <c r="K170" s="12" t="s">
        <v>63</v>
      </c>
      <c r="L170" s="12" t="s">
        <v>36</v>
      </c>
      <c r="M170" s="13">
        <v>44625</v>
      </c>
      <c r="N170" s="1">
        <v>4499.95</v>
      </c>
      <c r="O170" s="12" t="str">
        <f>TEXT(B170,"mmm-yyyy")</f>
        <v>Dec-2024</v>
      </c>
      <c r="P170" s="13">
        <f>EOMONTH(B170,0)</f>
        <v>45657</v>
      </c>
      <c r="Q170" s="12">
        <f ca="1">DATEDIF(M170,TODAY(),"y")</f>
        <v>4</v>
      </c>
      <c r="R170" s="15">
        <f ca="1">NOW()</f>
        <v>46282.345924652778</v>
      </c>
      <c r="S170" s="12" t="str">
        <f>UPPER(LEFT(D170,1)&amp;LEFT(RIGHT(D170,LEN(D170)-FIND(" ",D170)),1))</f>
        <v>DK</v>
      </c>
    </row>
    <row r="171" spans="1:19">
      <c r="A171" s="12" t="s">
        <v>314</v>
      </c>
      <c r="B171" s="13">
        <v>45646</v>
      </c>
      <c r="C171" s="12" t="s">
        <v>42</v>
      </c>
      <c r="D171" s="12" t="s">
        <v>43</v>
      </c>
      <c r="E171" s="12" t="s">
        <v>44</v>
      </c>
      <c r="F171" s="12" t="s">
        <v>45</v>
      </c>
      <c r="G171" s="12" t="s">
        <v>46</v>
      </c>
      <c r="H171" s="12">
        <v>2</v>
      </c>
      <c r="I171" s="14">
        <v>149.99</v>
      </c>
      <c r="J171" s="12" t="s">
        <v>20</v>
      </c>
      <c r="K171" s="12" t="s">
        <v>35</v>
      </c>
      <c r="L171" s="12" t="s">
        <v>22</v>
      </c>
      <c r="M171" s="13">
        <v>45239</v>
      </c>
      <c r="N171" s="1">
        <v>299.98</v>
      </c>
      <c r="O171" s="12" t="str">
        <f>TEXT(B171,"mmm-yyyy")</f>
        <v>Dec-2024</v>
      </c>
      <c r="P171" s="13">
        <f>EOMONTH(B171,0)</f>
        <v>45657</v>
      </c>
      <c r="Q171" s="12">
        <f ca="1">DATEDIF(M171,TODAY(),"y")</f>
        <v>2</v>
      </c>
      <c r="R171" s="15">
        <f ca="1">NOW()</f>
        <v>46282.345924652778</v>
      </c>
      <c r="S171" s="12" t="str">
        <f>UPPER(LEFT(D171,1)&amp;LEFT(RIGHT(D171,LEN(D171)-FIND(" ",D171)),1))</f>
        <v>MB</v>
      </c>
    </row>
    <row r="172" spans="1:19">
      <c r="A172" s="12" t="s">
        <v>315</v>
      </c>
      <c r="B172" s="13">
        <v>45648</v>
      </c>
      <c r="C172" s="12" t="s">
        <v>112</v>
      </c>
      <c r="D172" s="12" t="s">
        <v>113</v>
      </c>
      <c r="E172" s="12" t="s">
        <v>52</v>
      </c>
      <c r="F172" s="12" t="s">
        <v>53</v>
      </c>
      <c r="G172" s="12" t="s">
        <v>19</v>
      </c>
      <c r="H172" s="12">
        <v>2</v>
      </c>
      <c r="I172" s="14">
        <v>149.99</v>
      </c>
      <c r="J172" s="12" t="s">
        <v>57</v>
      </c>
      <c r="K172" s="12" t="s">
        <v>50</v>
      </c>
      <c r="L172" s="12" t="s">
        <v>27</v>
      </c>
      <c r="M172" s="13">
        <v>45280</v>
      </c>
      <c r="N172" s="1">
        <v>299.98</v>
      </c>
      <c r="O172" s="12" t="str">
        <f>TEXT(B172,"mmm-yyyy")</f>
        <v>Dec-2024</v>
      </c>
      <c r="P172" s="13">
        <f>EOMONTH(B172,0)</f>
        <v>45657</v>
      </c>
      <c r="Q172" s="12">
        <f ca="1">DATEDIF(M172,TODAY(),"y")</f>
        <v>2</v>
      </c>
      <c r="R172" s="15">
        <f ca="1">NOW()</f>
        <v>46282.345924652778</v>
      </c>
      <c r="S172" s="12" t="str">
        <f>UPPER(LEFT(D172,1)&amp;LEFT(RIGHT(D172,LEN(D172)-FIND(" ",D172)),1))</f>
        <v>LM</v>
      </c>
    </row>
    <row r="173" spans="1:19">
      <c r="A173" s="12" t="s">
        <v>316</v>
      </c>
      <c r="B173" s="13">
        <v>45648</v>
      </c>
      <c r="C173" s="12" t="s">
        <v>182</v>
      </c>
      <c r="D173" s="12" t="s">
        <v>183</v>
      </c>
      <c r="E173" s="12" t="s">
        <v>44</v>
      </c>
      <c r="F173" s="12" t="s">
        <v>45</v>
      </c>
      <c r="G173" s="12" t="s">
        <v>46</v>
      </c>
      <c r="H173" s="12">
        <v>3</v>
      </c>
      <c r="I173" s="14">
        <v>149.99</v>
      </c>
      <c r="J173" s="12" t="s">
        <v>57</v>
      </c>
      <c r="K173" s="12" t="s">
        <v>40</v>
      </c>
      <c r="L173" s="12" t="s">
        <v>36</v>
      </c>
      <c r="M173" s="13">
        <v>44522</v>
      </c>
      <c r="N173" s="1">
        <v>449.97</v>
      </c>
      <c r="O173" s="12" t="str">
        <f>TEXT(B173,"mmm-yyyy")</f>
        <v>Dec-2024</v>
      </c>
      <c r="P173" s="13">
        <f>EOMONTH(B173,0)</f>
        <v>45657</v>
      </c>
      <c r="Q173" s="12">
        <f ca="1">DATEDIF(M173,TODAY(),"y")</f>
        <v>4</v>
      </c>
      <c r="R173" s="15">
        <f ca="1">NOW()</f>
        <v>46282.345924652778</v>
      </c>
      <c r="S173" s="12" t="str">
        <f>UPPER(LEFT(D173,1)&amp;LEFT(RIGHT(D173,LEN(D173)-FIND(" ",D173)),1))</f>
        <v>DM</v>
      </c>
    </row>
    <row r="174" spans="1:19">
      <c r="A174" s="12" t="s">
        <v>317</v>
      </c>
      <c r="B174" s="13">
        <v>45649</v>
      </c>
      <c r="C174" s="12" t="s">
        <v>29</v>
      </c>
      <c r="D174" s="12" t="s">
        <v>30</v>
      </c>
      <c r="E174" s="12" t="s">
        <v>105</v>
      </c>
      <c r="F174" s="12" t="s">
        <v>106</v>
      </c>
      <c r="G174" s="12" t="s">
        <v>46</v>
      </c>
      <c r="H174" s="12">
        <v>2</v>
      </c>
      <c r="I174" s="14">
        <v>299.99</v>
      </c>
      <c r="J174" s="12" t="s">
        <v>34</v>
      </c>
      <c r="K174" s="12" t="s">
        <v>35</v>
      </c>
      <c r="L174" s="12" t="s">
        <v>22</v>
      </c>
      <c r="M174" s="13">
        <v>44721</v>
      </c>
      <c r="N174" s="1">
        <v>599.98</v>
      </c>
      <c r="O174" s="12" t="str">
        <f>TEXT(B174,"mmm-yyyy")</f>
        <v>Dec-2024</v>
      </c>
      <c r="P174" s="13">
        <f>EOMONTH(B174,0)</f>
        <v>45657</v>
      </c>
      <c r="Q174" s="12">
        <f ca="1">DATEDIF(M174,TODAY(),"y")</f>
        <v>4</v>
      </c>
      <c r="R174" s="15">
        <f ca="1">NOW()</f>
        <v>46282.345924652778</v>
      </c>
      <c r="S174" s="12" t="str">
        <f>UPPER(LEFT(D174,1)&amp;LEFT(RIGHT(D174,LEN(D174)-FIND(" ",D174)),1))</f>
        <v>KS</v>
      </c>
    </row>
    <row r="175" spans="1:19">
      <c r="A175" s="12" t="s">
        <v>318</v>
      </c>
      <c r="B175" s="13">
        <v>45654</v>
      </c>
      <c r="C175" s="12" t="s">
        <v>42</v>
      </c>
      <c r="D175" s="12" t="s">
        <v>43</v>
      </c>
      <c r="E175" s="12" t="s">
        <v>105</v>
      </c>
      <c r="F175" s="12" t="s">
        <v>106</v>
      </c>
      <c r="G175" s="12" t="s">
        <v>46</v>
      </c>
      <c r="H175" s="12">
        <v>2</v>
      </c>
      <c r="I175" s="14">
        <v>299.99</v>
      </c>
      <c r="J175" s="12" t="s">
        <v>20</v>
      </c>
      <c r="K175" s="12" t="s">
        <v>50</v>
      </c>
      <c r="L175" s="12" t="s">
        <v>22</v>
      </c>
      <c r="M175" s="13">
        <v>44771</v>
      </c>
      <c r="N175" s="1">
        <v>599.98</v>
      </c>
      <c r="O175" s="12" t="str">
        <f>TEXT(B175,"mmm-yyyy")</f>
        <v>Dec-2024</v>
      </c>
      <c r="P175" s="13">
        <f>EOMONTH(B175,0)</f>
        <v>45657</v>
      </c>
      <c r="Q175" s="12">
        <f ca="1">DATEDIF(M175,TODAY(),"y")</f>
        <v>4</v>
      </c>
      <c r="R175" s="15">
        <f ca="1">NOW()</f>
        <v>46282.345924652778</v>
      </c>
      <c r="S175" s="12" t="str">
        <f>UPPER(LEFT(D175,1)&amp;LEFT(RIGHT(D175,LEN(D175)-FIND(" ",D175)),1))</f>
        <v>MB</v>
      </c>
    </row>
    <row r="176" spans="1:19">
      <c r="A176" s="12" t="s">
        <v>319</v>
      </c>
      <c r="B176" s="13">
        <v>45654</v>
      </c>
      <c r="C176" s="12" t="s">
        <v>120</v>
      </c>
      <c r="D176" s="12" t="s">
        <v>121</v>
      </c>
      <c r="E176" s="12" t="s">
        <v>126</v>
      </c>
      <c r="F176" s="12" t="s">
        <v>127</v>
      </c>
      <c r="G176" s="12" t="s">
        <v>46</v>
      </c>
      <c r="H176" s="12">
        <v>4</v>
      </c>
      <c r="I176" s="14">
        <v>199.99</v>
      </c>
      <c r="J176" s="12" t="s">
        <v>26</v>
      </c>
      <c r="K176" s="12" t="s">
        <v>21</v>
      </c>
      <c r="L176" s="12" t="s">
        <v>22</v>
      </c>
      <c r="M176" s="13">
        <v>44523</v>
      </c>
      <c r="N176" s="1">
        <v>799.96</v>
      </c>
      <c r="O176" s="12" t="str">
        <f>TEXT(B176,"mmm-yyyy")</f>
        <v>Dec-2024</v>
      </c>
      <c r="P176" s="13">
        <f>EOMONTH(B176,0)</f>
        <v>45657</v>
      </c>
      <c r="Q176" s="12">
        <f ca="1">DATEDIF(M176,TODAY(),"y")</f>
        <v>4</v>
      </c>
      <c r="R176" s="15">
        <f ca="1">NOW()</f>
        <v>46282.345924652778</v>
      </c>
      <c r="S176" s="12" t="str">
        <f>UPPER(LEFT(D176,1)&amp;LEFT(RIGHT(D176,LEN(D176)-FIND(" ",D176)),1))</f>
        <v>HR</v>
      </c>
    </row>
    <row r="177" spans="1:19">
      <c r="A177" s="12" t="s">
        <v>320</v>
      </c>
      <c r="B177" s="13">
        <v>45655</v>
      </c>
      <c r="C177" s="12" t="s">
        <v>59</v>
      </c>
      <c r="D177" s="12" t="s">
        <v>60</v>
      </c>
      <c r="E177" s="12" t="s">
        <v>117</v>
      </c>
      <c r="F177" s="12" t="s">
        <v>118</v>
      </c>
      <c r="G177" s="12" t="s">
        <v>19</v>
      </c>
      <c r="H177" s="12">
        <v>1</v>
      </c>
      <c r="I177" s="14">
        <v>89.99</v>
      </c>
      <c r="J177" s="12" t="s">
        <v>26</v>
      </c>
      <c r="K177" s="12" t="s">
        <v>35</v>
      </c>
      <c r="L177" s="12" t="s">
        <v>27</v>
      </c>
      <c r="M177" s="13">
        <v>44591</v>
      </c>
      <c r="N177" s="1">
        <v>89.99</v>
      </c>
      <c r="O177" s="12" t="str">
        <f>TEXT(B177,"mmm-yyyy")</f>
        <v>Dec-2024</v>
      </c>
      <c r="P177" s="13">
        <f>EOMONTH(B177,0)</f>
        <v>45657</v>
      </c>
      <c r="Q177" s="12">
        <f ca="1">DATEDIF(M177,TODAY(),"y")</f>
        <v>4</v>
      </c>
      <c r="R177" s="15">
        <f ca="1">NOW()</f>
        <v>46282.345924652778</v>
      </c>
      <c r="S177" s="12" t="str">
        <f>UPPER(LEFT(D177,1)&amp;LEFT(RIGHT(D177,LEN(D177)-FIND(" ",D177)),1))</f>
        <v>RT</v>
      </c>
    </row>
    <row r="178" spans="1:19">
      <c r="A178" s="12" t="s">
        <v>321</v>
      </c>
      <c r="B178" s="13">
        <v>45655</v>
      </c>
      <c r="C178" s="12" t="s">
        <v>108</v>
      </c>
      <c r="D178" s="12" t="s">
        <v>109</v>
      </c>
      <c r="E178" s="12" t="s">
        <v>44</v>
      </c>
      <c r="F178" s="12" t="s">
        <v>45</v>
      </c>
      <c r="G178" s="12" t="s">
        <v>46</v>
      </c>
      <c r="H178" s="12">
        <v>5</v>
      </c>
      <c r="I178" s="14">
        <v>149.99</v>
      </c>
      <c r="J178" s="12" t="s">
        <v>20</v>
      </c>
      <c r="K178" s="12" t="s">
        <v>21</v>
      </c>
      <c r="L178" s="12" t="s">
        <v>27</v>
      </c>
      <c r="M178" s="13">
        <v>45347</v>
      </c>
      <c r="N178" s="1">
        <v>749.95</v>
      </c>
      <c r="O178" s="12" t="str">
        <f>TEXT(B178,"mmm-yyyy")</f>
        <v>Dec-2024</v>
      </c>
      <c r="P178" s="13">
        <f>EOMONTH(B178,0)</f>
        <v>45657</v>
      </c>
      <c r="Q178" s="12">
        <f ca="1">DATEDIF(M178,TODAY(),"y")</f>
        <v>2</v>
      </c>
      <c r="R178" s="15">
        <f ca="1">NOW()</f>
        <v>46282.345924652778</v>
      </c>
      <c r="S178" s="12" t="str">
        <f>UPPER(LEFT(D178,1)&amp;LEFT(RIGHT(D178,LEN(D178)-FIND(" ",D178)),1))</f>
        <v>NC</v>
      </c>
    </row>
    <row r="179" spans="1:19">
      <c r="A179" s="12" t="s">
        <v>322</v>
      </c>
      <c r="B179" s="13">
        <v>45657</v>
      </c>
      <c r="C179" s="12" t="s">
        <v>86</v>
      </c>
      <c r="D179" s="12" t="s">
        <v>87</v>
      </c>
      <c r="E179" s="12" t="s">
        <v>61</v>
      </c>
      <c r="F179" s="12" t="s">
        <v>62</v>
      </c>
      <c r="G179" s="12" t="s">
        <v>19</v>
      </c>
      <c r="H179" s="12">
        <v>1</v>
      </c>
      <c r="I179" s="14">
        <v>899.99</v>
      </c>
      <c r="J179" s="12" t="s">
        <v>34</v>
      </c>
      <c r="K179" s="12" t="s">
        <v>40</v>
      </c>
      <c r="L179" s="12" t="s">
        <v>27</v>
      </c>
      <c r="M179" s="13">
        <v>45050</v>
      </c>
      <c r="N179" s="1">
        <v>899.99</v>
      </c>
      <c r="O179" s="12" t="str">
        <f>TEXT(B179,"mmm-yyyy")</f>
        <v>Dec-2024</v>
      </c>
      <c r="P179" s="13">
        <f>EOMONTH(B179,0)</f>
        <v>45657</v>
      </c>
      <c r="Q179" s="12">
        <f ca="1">DATEDIF(M179,TODAY(),"y")</f>
        <v>3</v>
      </c>
      <c r="R179" s="15">
        <f ca="1">NOW()</f>
        <v>46282.345924652778</v>
      </c>
      <c r="S179" s="12" t="str">
        <f>UPPER(LEFT(D179,1)&amp;LEFT(RIGHT(D179,LEN(D179)-FIND(" ",D179)),1))</f>
        <v>MC</v>
      </c>
    </row>
    <row r="180" spans="1:19">
      <c r="A180" s="12" t="s">
        <v>323</v>
      </c>
      <c r="B180" s="13">
        <v>45660</v>
      </c>
      <c r="C180" s="12" t="s">
        <v>147</v>
      </c>
      <c r="D180" s="12" t="s">
        <v>148</v>
      </c>
      <c r="E180" s="12" t="s">
        <v>117</v>
      </c>
      <c r="F180" s="12" t="s">
        <v>118</v>
      </c>
      <c r="G180" s="12" t="s">
        <v>19</v>
      </c>
      <c r="H180" s="12">
        <v>2</v>
      </c>
      <c r="I180" s="14">
        <v>89.99</v>
      </c>
      <c r="J180" s="12" t="s">
        <v>26</v>
      </c>
      <c r="K180" s="12" t="s">
        <v>35</v>
      </c>
      <c r="L180" s="12" t="s">
        <v>27</v>
      </c>
      <c r="M180" s="13">
        <v>44564</v>
      </c>
      <c r="N180" s="1">
        <v>179.98</v>
      </c>
      <c r="O180" s="12" t="str">
        <f>TEXT(B180,"mmm-yyyy")</f>
        <v>Jan-2025</v>
      </c>
      <c r="P180" s="13">
        <f>EOMONTH(B180,0)</f>
        <v>45688</v>
      </c>
      <c r="Q180" s="12">
        <f ca="1">DATEDIF(M180,TODAY(),"y")</f>
        <v>4</v>
      </c>
      <c r="R180" s="15">
        <f ca="1">NOW()</f>
        <v>46282.345924652778</v>
      </c>
      <c r="S180" s="12" t="str">
        <f>UPPER(LEFT(D180,1)&amp;LEFT(RIGHT(D180,LEN(D180)-FIND(" ",D180)),1))</f>
        <v>DK</v>
      </c>
    </row>
    <row r="181" spans="1:19">
      <c r="A181" s="12" t="s">
        <v>324</v>
      </c>
      <c r="B181" s="13">
        <v>45661</v>
      </c>
      <c r="C181" s="12" t="s">
        <v>325</v>
      </c>
      <c r="D181" s="12" t="s">
        <v>326</v>
      </c>
      <c r="E181" s="12" t="s">
        <v>61</v>
      </c>
      <c r="F181" s="12" t="s">
        <v>62</v>
      </c>
      <c r="G181" s="12" t="s">
        <v>19</v>
      </c>
      <c r="H181" s="12">
        <v>1</v>
      </c>
      <c r="I181" s="14">
        <v>899.99</v>
      </c>
      <c r="J181" s="12" t="s">
        <v>34</v>
      </c>
      <c r="K181" s="12" t="s">
        <v>40</v>
      </c>
      <c r="L181" s="12" t="s">
        <v>36</v>
      </c>
      <c r="M181" s="13">
        <v>44752</v>
      </c>
      <c r="N181" s="1">
        <v>899.99</v>
      </c>
      <c r="O181" s="12" t="str">
        <f>TEXT(B181,"mmm-yyyy")</f>
        <v>Jan-2025</v>
      </c>
      <c r="P181" s="13">
        <f>EOMONTH(B181,0)</f>
        <v>45688</v>
      </c>
      <c r="Q181" s="12">
        <f ca="1">DATEDIF(M181,TODAY(),"y")</f>
        <v>4</v>
      </c>
      <c r="R181" s="15">
        <f ca="1">NOW()</f>
        <v>46282.345924652778</v>
      </c>
      <c r="S181" s="12" t="str">
        <f>UPPER(LEFT(D181,1)&amp;LEFT(RIGHT(D181,LEN(D181)-FIND(" ",D181)),1))</f>
        <v>AE</v>
      </c>
    </row>
    <row r="182" spans="1:19">
      <c r="A182" s="12" t="s">
        <v>327</v>
      </c>
      <c r="B182" s="13">
        <v>45663</v>
      </c>
      <c r="C182" s="12" t="s">
        <v>129</v>
      </c>
      <c r="D182" s="12" t="s">
        <v>130</v>
      </c>
      <c r="E182" s="12" t="s">
        <v>52</v>
      </c>
      <c r="F182" s="12" t="s">
        <v>53</v>
      </c>
      <c r="G182" s="12" t="s">
        <v>19</v>
      </c>
      <c r="H182" s="12">
        <v>5</v>
      </c>
      <c r="I182" s="14">
        <v>149.99</v>
      </c>
      <c r="J182" s="12" t="s">
        <v>34</v>
      </c>
      <c r="K182" s="12" t="s">
        <v>63</v>
      </c>
      <c r="L182" s="12" t="s">
        <v>27</v>
      </c>
      <c r="M182" s="13">
        <v>44824</v>
      </c>
      <c r="N182" s="1">
        <v>749.95</v>
      </c>
      <c r="O182" s="12" t="str">
        <f>TEXT(B182,"mmm-yyyy")</f>
        <v>Jan-2025</v>
      </c>
      <c r="P182" s="13">
        <f>EOMONTH(B182,0)</f>
        <v>45688</v>
      </c>
      <c r="Q182" s="12">
        <f ca="1">DATEDIF(M182,TODAY(),"y")</f>
        <v>3</v>
      </c>
      <c r="R182" s="15">
        <f ca="1">NOW()</f>
        <v>46282.345924652778</v>
      </c>
      <c r="S182" s="12" t="str">
        <f>UPPER(LEFT(D182,1)&amp;LEFT(RIGHT(D182,LEN(D182)-FIND(" ",D182)),1))</f>
        <v>LA</v>
      </c>
    </row>
    <row r="183" spans="1:19">
      <c r="A183" s="12" t="s">
        <v>328</v>
      </c>
      <c r="B183" s="13">
        <v>45663</v>
      </c>
      <c r="C183" s="12" t="s">
        <v>42</v>
      </c>
      <c r="D183" s="12" t="s">
        <v>43</v>
      </c>
      <c r="E183" s="12" t="s">
        <v>105</v>
      </c>
      <c r="F183" s="12" t="s">
        <v>106</v>
      </c>
      <c r="G183" s="12" t="s">
        <v>46</v>
      </c>
      <c r="H183" s="12">
        <v>3</v>
      </c>
      <c r="I183" s="14">
        <v>299.99</v>
      </c>
      <c r="J183" s="12" t="s">
        <v>20</v>
      </c>
      <c r="K183" s="12" t="s">
        <v>35</v>
      </c>
      <c r="L183" s="12" t="s">
        <v>36</v>
      </c>
      <c r="M183" s="13">
        <v>44422</v>
      </c>
      <c r="N183" s="1">
        <v>899.97</v>
      </c>
      <c r="O183" s="12" t="str">
        <f>TEXT(B183,"mmm-yyyy")</f>
        <v>Jan-2025</v>
      </c>
      <c r="P183" s="13">
        <f>EOMONTH(B183,0)</f>
        <v>45688</v>
      </c>
      <c r="Q183" s="12">
        <f ca="1">DATEDIF(M183,TODAY(),"y")</f>
        <v>5</v>
      </c>
      <c r="R183" s="15">
        <f ca="1">NOW()</f>
        <v>46282.345924652778</v>
      </c>
      <c r="S183" s="12" t="str">
        <f>UPPER(LEFT(D183,1)&amp;LEFT(RIGHT(D183,LEN(D183)-FIND(" ",D183)),1))</f>
        <v>MB</v>
      </c>
    </row>
    <row r="184" spans="1:19">
      <c r="A184" s="12" t="s">
        <v>329</v>
      </c>
      <c r="B184" s="13">
        <v>45666</v>
      </c>
      <c r="C184" s="12" t="s">
        <v>65</v>
      </c>
      <c r="D184" s="12" t="s">
        <v>66</v>
      </c>
      <c r="E184" s="12" t="s">
        <v>80</v>
      </c>
      <c r="F184" s="12" t="s">
        <v>81</v>
      </c>
      <c r="G184" s="12" t="s">
        <v>19</v>
      </c>
      <c r="H184" s="12">
        <v>3</v>
      </c>
      <c r="I184" s="14">
        <v>699.99</v>
      </c>
      <c r="J184" s="12" t="s">
        <v>26</v>
      </c>
      <c r="K184" s="12" t="s">
        <v>21</v>
      </c>
      <c r="L184" s="12" t="s">
        <v>27</v>
      </c>
      <c r="M184" s="13">
        <v>45105</v>
      </c>
      <c r="N184" s="1">
        <v>2099.9699999999998</v>
      </c>
      <c r="O184" s="12" t="str">
        <f>TEXT(B184,"mmm-yyyy")</f>
        <v>Jan-2025</v>
      </c>
      <c r="P184" s="13">
        <f>EOMONTH(B184,0)</f>
        <v>45688</v>
      </c>
      <c r="Q184" s="12">
        <f ca="1">DATEDIF(M184,TODAY(),"y")</f>
        <v>3</v>
      </c>
      <c r="R184" s="15">
        <f ca="1">NOW()</f>
        <v>46282.345924652778</v>
      </c>
      <c r="S184" s="12" t="str">
        <f>UPPER(LEFT(D184,1)&amp;LEFT(RIGHT(D184,LEN(D184)-FIND(" ",D184)),1))</f>
        <v>KH</v>
      </c>
    </row>
    <row r="185" spans="1:19">
      <c r="A185" s="12" t="s">
        <v>330</v>
      </c>
      <c r="B185" s="13">
        <v>45667</v>
      </c>
      <c r="C185" s="12" t="s">
        <v>108</v>
      </c>
      <c r="D185" s="12" t="s">
        <v>109</v>
      </c>
      <c r="E185" s="12" t="s">
        <v>126</v>
      </c>
      <c r="F185" s="12" t="s">
        <v>127</v>
      </c>
      <c r="G185" s="12" t="s">
        <v>46</v>
      </c>
      <c r="H185" s="12">
        <v>5</v>
      </c>
      <c r="I185" s="14">
        <v>199.99</v>
      </c>
      <c r="J185" s="12" t="s">
        <v>34</v>
      </c>
      <c r="K185" s="12" t="s">
        <v>21</v>
      </c>
      <c r="L185" s="12" t="s">
        <v>36</v>
      </c>
      <c r="M185" s="13">
        <v>44633</v>
      </c>
      <c r="N185" s="1">
        <v>999.95</v>
      </c>
      <c r="O185" s="12" t="str">
        <f>TEXT(B185,"mmm-yyyy")</f>
        <v>Jan-2025</v>
      </c>
      <c r="P185" s="13">
        <f>EOMONTH(B185,0)</f>
        <v>45688</v>
      </c>
      <c r="Q185" s="12">
        <f ca="1">DATEDIF(M185,TODAY(),"y")</f>
        <v>4</v>
      </c>
      <c r="R185" s="15">
        <f ca="1">NOW()</f>
        <v>46282.345924652778</v>
      </c>
      <c r="S185" s="12" t="str">
        <f>UPPER(LEFT(D185,1)&amp;LEFT(RIGHT(D185,LEN(D185)-FIND(" ",D185)),1))</f>
        <v>NC</v>
      </c>
    </row>
    <row r="186" spans="1:19">
      <c r="A186" s="12" t="s">
        <v>331</v>
      </c>
      <c r="B186" s="13">
        <v>45667</v>
      </c>
      <c r="C186" s="12" t="s">
        <v>93</v>
      </c>
      <c r="D186" s="12" t="s">
        <v>94</v>
      </c>
      <c r="E186" s="12" t="s">
        <v>17</v>
      </c>
      <c r="F186" s="12" t="s">
        <v>18</v>
      </c>
      <c r="G186" s="12" t="s">
        <v>19</v>
      </c>
      <c r="H186" s="12">
        <v>5</v>
      </c>
      <c r="I186" s="14">
        <v>249.99</v>
      </c>
      <c r="J186" s="12" t="s">
        <v>26</v>
      </c>
      <c r="K186" s="12" t="s">
        <v>35</v>
      </c>
      <c r="L186" s="12" t="s">
        <v>22</v>
      </c>
      <c r="M186" s="13">
        <v>45330</v>
      </c>
      <c r="N186" s="1">
        <v>1249.95</v>
      </c>
      <c r="O186" s="12" t="str">
        <f>TEXT(B186,"mmm-yyyy")</f>
        <v>Jan-2025</v>
      </c>
      <c r="P186" s="13">
        <f>EOMONTH(B186,0)</f>
        <v>45688</v>
      </c>
      <c r="Q186" s="12">
        <f ca="1">DATEDIF(M186,TODAY(),"y")</f>
        <v>2</v>
      </c>
      <c r="R186" s="15">
        <f ca="1">NOW()</f>
        <v>46282.345924652778</v>
      </c>
      <c r="S186" s="12" t="str">
        <f>UPPER(LEFT(D186,1)&amp;LEFT(RIGHT(D186,LEN(D186)-FIND(" ",D186)),1))</f>
        <v>VS</v>
      </c>
    </row>
    <row r="187" spans="1:19">
      <c r="A187" s="12" t="s">
        <v>332</v>
      </c>
      <c r="B187" s="13">
        <v>45668</v>
      </c>
      <c r="C187" s="12" t="s">
        <v>138</v>
      </c>
      <c r="D187" s="12" t="s">
        <v>139</v>
      </c>
      <c r="E187" s="12" t="s">
        <v>52</v>
      </c>
      <c r="F187" s="12" t="s">
        <v>53</v>
      </c>
      <c r="G187" s="12" t="s">
        <v>19</v>
      </c>
      <c r="H187" s="12">
        <v>4</v>
      </c>
      <c r="I187" s="14">
        <v>149.99</v>
      </c>
      <c r="J187" s="12" t="s">
        <v>57</v>
      </c>
      <c r="K187" s="12" t="s">
        <v>63</v>
      </c>
      <c r="L187" s="12" t="s">
        <v>36</v>
      </c>
      <c r="M187" s="13">
        <v>44536</v>
      </c>
      <c r="N187" s="1">
        <v>599.96</v>
      </c>
      <c r="O187" s="12" t="str">
        <f>TEXT(B187,"mmm-yyyy")</f>
        <v>Jan-2025</v>
      </c>
      <c r="P187" s="13">
        <f>EOMONTH(B187,0)</f>
        <v>45688</v>
      </c>
      <c r="Q187" s="12">
        <f ca="1">DATEDIF(M187,TODAY(),"y")</f>
        <v>4</v>
      </c>
      <c r="R187" s="15">
        <f ca="1">NOW()</f>
        <v>46282.345924652778</v>
      </c>
      <c r="S187" s="12" t="str">
        <f>UPPER(LEFT(D187,1)&amp;LEFT(RIGHT(D187,LEN(D187)-FIND(" ",D187)),1))</f>
        <v>ST</v>
      </c>
    </row>
    <row r="188" spans="1:19">
      <c r="A188" s="12" t="s">
        <v>333</v>
      </c>
      <c r="B188" s="13">
        <v>45668</v>
      </c>
      <c r="C188" s="12" t="s">
        <v>78</v>
      </c>
      <c r="D188" s="12" t="s">
        <v>79</v>
      </c>
      <c r="E188" s="12" t="s">
        <v>80</v>
      </c>
      <c r="F188" s="12" t="s">
        <v>81</v>
      </c>
      <c r="G188" s="12" t="s">
        <v>19</v>
      </c>
      <c r="H188" s="12">
        <v>3</v>
      </c>
      <c r="I188" s="14">
        <v>699.99</v>
      </c>
      <c r="J188" s="12" t="s">
        <v>20</v>
      </c>
      <c r="K188" s="12" t="s">
        <v>40</v>
      </c>
      <c r="L188" s="12" t="s">
        <v>27</v>
      </c>
      <c r="M188" s="13">
        <v>44602</v>
      </c>
      <c r="N188" s="1">
        <v>2099.9699999999998</v>
      </c>
      <c r="O188" s="12" t="str">
        <f>TEXT(B188,"mmm-yyyy")</f>
        <v>Jan-2025</v>
      </c>
      <c r="P188" s="13">
        <f>EOMONTH(B188,0)</f>
        <v>45688</v>
      </c>
      <c r="Q188" s="12">
        <f ca="1">DATEDIF(M188,TODAY(),"y")</f>
        <v>4</v>
      </c>
      <c r="R188" s="15">
        <f ca="1">NOW()</f>
        <v>46282.345924652778</v>
      </c>
      <c r="S188" s="12" t="str">
        <f>UPPER(LEFT(D188,1)&amp;LEFT(RIGHT(D188,LEN(D188)-FIND(" ",D188)),1))</f>
        <v>MR</v>
      </c>
    </row>
    <row r="189" spans="1:19">
      <c r="A189" s="12" t="s">
        <v>334</v>
      </c>
      <c r="B189" s="13">
        <v>45670</v>
      </c>
      <c r="C189" s="12" t="s">
        <v>293</v>
      </c>
      <c r="D189" s="12" t="s">
        <v>294</v>
      </c>
      <c r="E189" s="12" t="s">
        <v>114</v>
      </c>
      <c r="F189" s="12" t="s">
        <v>115</v>
      </c>
      <c r="G189" s="12" t="s">
        <v>33</v>
      </c>
      <c r="H189" s="12">
        <v>1</v>
      </c>
      <c r="I189" s="14">
        <v>79.989999999999995</v>
      </c>
      <c r="J189" s="12" t="s">
        <v>26</v>
      </c>
      <c r="K189" s="12" t="s">
        <v>35</v>
      </c>
      <c r="L189" s="12" t="s">
        <v>22</v>
      </c>
      <c r="M189" s="13">
        <v>45322</v>
      </c>
      <c r="N189" s="1">
        <v>79.989999999999995</v>
      </c>
      <c r="O189" s="12" t="str">
        <f>TEXT(B189,"mmm-yyyy")</f>
        <v>Jan-2025</v>
      </c>
      <c r="P189" s="13">
        <f>EOMONTH(B189,0)</f>
        <v>45688</v>
      </c>
      <c r="Q189" s="12">
        <f ca="1">DATEDIF(M189,TODAY(),"y")</f>
        <v>2</v>
      </c>
      <c r="R189" s="15">
        <f ca="1">NOW()</f>
        <v>46282.345924652778</v>
      </c>
      <c r="S189" s="12" t="str">
        <f>UPPER(LEFT(D189,1)&amp;LEFT(RIGHT(D189,LEN(D189)-FIND(" ",D189)),1))</f>
        <v>DW</v>
      </c>
    </row>
    <row r="190" spans="1:19">
      <c r="A190" s="12" t="s">
        <v>335</v>
      </c>
      <c r="B190" s="13">
        <v>45670</v>
      </c>
      <c r="C190" s="12" t="s">
        <v>86</v>
      </c>
      <c r="D190" s="12" t="s">
        <v>87</v>
      </c>
      <c r="E190" s="12" t="s">
        <v>105</v>
      </c>
      <c r="F190" s="12" t="s">
        <v>106</v>
      </c>
      <c r="G190" s="12" t="s">
        <v>46</v>
      </c>
      <c r="H190" s="12">
        <v>1</v>
      </c>
      <c r="I190" s="14">
        <v>299.99</v>
      </c>
      <c r="J190" s="12" t="s">
        <v>26</v>
      </c>
      <c r="K190" s="12" t="s">
        <v>40</v>
      </c>
      <c r="L190" s="12" t="s">
        <v>22</v>
      </c>
      <c r="M190" s="13">
        <v>44436</v>
      </c>
      <c r="N190" s="1">
        <v>299.99</v>
      </c>
      <c r="O190" s="12" t="str">
        <f>TEXT(B190,"mmm-yyyy")</f>
        <v>Jan-2025</v>
      </c>
      <c r="P190" s="13">
        <f>EOMONTH(B190,0)</f>
        <v>45688</v>
      </c>
      <c r="Q190" s="12">
        <f ca="1">DATEDIF(M190,TODAY(),"y")</f>
        <v>5</v>
      </c>
      <c r="R190" s="15">
        <f ca="1">NOW()</f>
        <v>46282.345924652778</v>
      </c>
      <c r="S190" s="12" t="str">
        <f>UPPER(LEFT(D190,1)&amp;LEFT(RIGHT(D190,LEN(D190)-FIND(" ",D190)),1))</f>
        <v>MC</v>
      </c>
    </row>
    <row r="191" spans="1:19">
      <c r="A191" s="12" t="s">
        <v>336</v>
      </c>
      <c r="B191" s="13">
        <v>45671</v>
      </c>
      <c r="C191" s="12" t="s">
        <v>158</v>
      </c>
      <c r="D191" s="12" t="s">
        <v>159</v>
      </c>
      <c r="E191" s="12" t="s">
        <v>17</v>
      </c>
      <c r="F191" s="12" t="s">
        <v>18</v>
      </c>
      <c r="G191" s="12" t="s">
        <v>19</v>
      </c>
      <c r="H191" s="12">
        <v>4</v>
      </c>
      <c r="I191" s="14">
        <v>249.99</v>
      </c>
      <c r="J191" s="12" t="s">
        <v>26</v>
      </c>
      <c r="K191" s="12" t="s">
        <v>40</v>
      </c>
      <c r="L191" s="12" t="s">
        <v>27</v>
      </c>
      <c r="M191" s="13">
        <v>44460</v>
      </c>
      <c r="N191" s="1">
        <v>999.96</v>
      </c>
      <c r="O191" s="12" t="str">
        <f>TEXT(B191,"mmm-yyyy")</f>
        <v>Jan-2025</v>
      </c>
      <c r="P191" s="13">
        <f>EOMONTH(B191,0)</f>
        <v>45688</v>
      </c>
      <c r="Q191" s="12">
        <f ca="1">DATEDIF(M191,TODAY(),"y")</f>
        <v>4</v>
      </c>
      <c r="R191" s="15">
        <f ca="1">NOW()</f>
        <v>46282.345924652778</v>
      </c>
      <c r="S191" s="12" t="str">
        <f>UPPER(LEFT(D191,1)&amp;LEFT(RIGHT(D191,LEN(D191)-FIND(" ",D191)),1))</f>
        <v>BC</v>
      </c>
    </row>
    <row r="192" spans="1:19">
      <c r="A192" s="12" t="s">
        <v>337</v>
      </c>
      <c r="B192" s="13">
        <v>45671</v>
      </c>
      <c r="C192" s="12" t="s">
        <v>120</v>
      </c>
      <c r="D192" s="12" t="s">
        <v>121</v>
      </c>
      <c r="E192" s="12" t="s">
        <v>52</v>
      </c>
      <c r="F192" s="12" t="s">
        <v>53</v>
      </c>
      <c r="G192" s="12" t="s">
        <v>19</v>
      </c>
      <c r="H192" s="12">
        <v>2</v>
      </c>
      <c r="I192" s="14">
        <v>149.99</v>
      </c>
      <c r="J192" s="12" t="s">
        <v>20</v>
      </c>
      <c r="K192" s="12" t="s">
        <v>40</v>
      </c>
      <c r="L192" s="12" t="s">
        <v>36</v>
      </c>
      <c r="M192" s="13">
        <v>44913</v>
      </c>
      <c r="N192" s="1">
        <v>299.98</v>
      </c>
      <c r="O192" s="12" t="str">
        <f>TEXT(B192,"mmm-yyyy")</f>
        <v>Jan-2025</v>
      </c>
      <c r="P192" s="13">
        <f>EOMONTH(B192,0)</f>
        <v>45688</v>
      </c>
      <c r="Q192" s="12">
        <f ca="1">DATEDIF(M192,TODAY(),"y")</f>
        <v>3</v>
      </c>
      <c r="R192" s="15">
        <f ca="1">NOW()</f>
        <v>46282.345924652778</v>
      </c>
      <c r="S192" s="12" t="str">
        <f>UPPER(LEFT(D192,1)&amp;LEFT(RIGHT(D192,LEN(D192)-FIND(" ",D192)),1))</f>
        <v>HR</v>
      </c>
    </row>
    <row r="193" spans="1:19">
      <c r="A193" s="12" t="s">
        <v>338</v>
      </c>
      <c r="B193" s="13">
        <v>45671</v>
      </c>
      <c r="C193" s="12" t="s">
        <v>234</v>
      </c>
      <c r="D193" s="12" t="s">
        <v>235</v>
      </c>
      <c r="E193" s="12" t="s">
        <v>105</v>
      </c>
      <c r="F193" s="12" t="s">
        <v>106</v>
      </c>
      <c r="G193" s="12" t="s">
        <v>46</v>
      </c>
      <c r="H193" s="12">
        <v>3</v>
      </c>
      <c r="I193" s="14">
        <v>299.99</v>
      </c>
      <c r="J193" s="12" t="s">
        <v>26</v>
      </c>
      <c r="K193" s="12" t="s">
        <v>35</v>
      </c>
      <c r="L193" s="12" t="s">
        <v>22</v>
      </c>
      <c r="M193" s="13">
        <v>45204</v>
      </c>
      <c r="N193" s="1">
        <v>899.97</v>
      </c>
      <c r="O193" s="12" t="str">
        <f>TEXT(B193,"mmm-yyyy")</f>
        <v>Jan-2025</v>
      </c>
      <c r="P193" s="13">
        <f>EOMONTH(B193,0)</f>
        <v>45688</v>
      </c>
      <c r="Q193" s="12">
        <f ca="1">DATEDIF(M193,TODAY(),"y")</f>
        <v>2</v>
      </c>
      <c r="R193" s="15">
        <f ca="1">NOW()</f>
        <v>46282.345924652778</v>
      </c>
      <c r="S193" s="12" t="str">
        <f>UPPER(LEFT(D193,1)&amp;LEFT(RIGHT(D193,LEN(D193)-FIND(" ",D193)),1))</f>
        <v>SP</v>
      </c>
    </row>
    <row r="194" spans="1:19">
      <c r="A194" s="12" t="s">
        <v>339</v>
      </c>
      <c r="B194" s="13">
        <v>45673</v>
      </c>
      <c r="C194" s="12" t="s">
        <v>226</v>
      </c>
      <c r="D194" s="12" t="s">
        <v>227</v>
      </c>
      <c r="E194" s="12" t="s">
        <v>126</v>
      </c>
      <c r="F194" s="12" t="s">
        <v>127</v>
      </c>
      <c r="G194" s="12" t="s">
        <v>46</v>
      </c>
      <c r="H194" s="12">
        <v>4</v>
      </c>
      <c r="I194" s="14">
        <v>199.99</v>
      </c>
      <c r="J194" s="12" t="s">
        <v>57</v>
      </c>
      <c r="K194" s="12" t="s">
        <v>35</v>
      </c>
      <c r="L194" s="12" t="s">
        <v>36</v>
      </c>
      <c r="M194" s="13">
        <v>44544</v>
      </c>
      <c r="N194" s="1">
        <v>799.96</v>
      </c>
      <c r="O194" s="12" t="str">
        <f>TEXT(B194,"mmm-yyyy")</f>
        <v>Jan-2025</v>
      </c>
      <c r="P194" s="13">
        <f>EOMONTH(B194,0)</f>
        <v>45688</v>
      </c>
      <c r="Q194" s="12">
        <f ca="1">DATEDIF(M194,TODAY(),"y")</f>
        <v>4</v>
      </c>
      <c r="R194" s="15">
        <f ca="1">NOW()</f>
        <v>46282.345924652778</v>
      </c>
      <c r="S194" s="12" t="str">
        <f>UPPER(LEFT(D194,1)&amp;LEFT(RIGHT(D194,LEN(D194)-FIND(" ",D194)),1))</f>
        <v>LR</v>
      </c>
    </row>
    <row r="195" spans="1:19">
      <c r="A195" s="12" t="s">
        <v>340</v>
      </c>
      <c r="B195" s="13">
        <v>45673</v>
      </c>
      <c r="C195" s="12" t="s">
        <v>211</v>
      </c>
      <c r="D195" s="12" t="s">
        <v>212</v>
      </c>
      <c r="E195" s="12" t="s">
        <v>105</v>
      </c>
      <c r="F195" s="12" t="s">
        <v>106</v>
      </c>
      <c r="G195" s="12" t="s">
        <v>46</v>
      </c>
      <c r="H195" s="12">
        <v>5</v>
      </c>
      <c r="I195" s="14">
        <v>299.99</v>
      </c>
      <c r="J195" s="12" t="s">
        <v>57</v>
      </c>
      <c r="K195" s="12" t="s">
        <v>21</v>
      </c>
      <c r="L195" s="12" t="s">
        <v>22</v>
      </c>
      <c r="M195" s="13">
        <v>44431</v>
      </c>
      <c r="N195" s="1">
        <v>1499.95</v>
      </c>
      <c r="O195" s="12" t="str">
        <f>TEXT(B195,"mmm-yyyy")</f>
        <v>Jan-2025</v>
      </c>
      <c r="P195" s="13">
        <f>EOMONTH(B195,0)</f>
        <v>45688</v>
      </c>
      <c r="Q195" s="12">
        <f ca="1">DATEDIF(M195,TODAY(),"y")</f>
        <v>5</v>
      </c>
      <c r="R195" s="15">
        <f ca="1">NOW()</f>
        <v>46282.345924652778</v>
      </c>
      <c r="S195" s="12" t="str">
        <f>UPPER(LEFT(D195,1)&amp;LEFT(RIGHT(D195,LEN(D195)-FIND(" ",D195)),1))</f>
        <v>EH</v>
      </c>
    </row>
    <row r="196" spans="1:19">
      <c r="A196" s="12" t="s">
        <v>341</v>
      </c>
      <c r="B196" s="13">
        <v>45673</v>
      </c>
      <c r="C196" s="12" t="s">
        <v>59</v>
      </c>
      <c r="D196" s="12" t="s">
        <v>60</v>
      </c>
      <c r="E196" s="12" t="s">
        <v>44</v>
      </c>
      <c r="F196" s="12" t="s">
        <v>45</v>
      </c>
      <c r="G196" s="12" t="s">
        <v>46</v>
      </c>
      <c r="H196" s="12">
        <v>3</v>
      </c>
      <c r="I196" s="14">
        <v>149.99</v>
      </c>
      <c r="J196" s="12" t="s">
        <v>26</v>
      </c>
      <c r="K196" s="12" t="s">
        <v>63</v>
      </c>
      <c r="L196" s="12" t="s">
        <v>36</v>
      </c>
      <c r="M196" s="13">
        <v>44395</v>
      </c>
      <c r="N196" s="1">
        <v>449.97</v>
      </c>
      <c r="O196" s="12" t="str">
        <f>TEXT(B196,"mmm-yyyy")</f>
        <v>Jan-2025</v>
      </c>
      <c r="P196" s="13">
        <f>EOMONTH(B196,0)</f>
        <v>45688</v>
      </c>
      <c r="Q196" s="12">
        <f ca="1">DATEDIF(M196,TODAY(),"y")</f>
        <v>5</v>
      </c>
      <c r="R196" s="15">
        <f ca="1">NOW()</f>
        <v>46282.345924652778</v>
      </c>
      <c r="S196" s="12" t="str">
        <f>UPPER(LEFT(D196,1)&amp;LEFT(RIGHT(D196,LEN(D196)-FIND(" ",D196)),1))</f>
        <v>RT</v>
      </c>
    </row>
    <row r="197" spans="1:19">
      <c r="A197" s="12" t="s">
        <v>342</v>
      </c>
      <c r="B197" s="13">
        <v>45676</v>
      </c>
      <c r="C197" s="12" t="s">
        <v>129</v>
      </c>
      <c r="D197" s="12" t="s">
        <v>130</v>
      </c>
      <c r="E197" s="12" t="s">
        <v>31</v>
      </c>
      <c r="F197" s="12" t="s">
        <v>32</v>
      </c>
      <c r="G197" s="12" t="s">
        <v>33</v>
      </c>
      <c r="H197" s="12">
        <v>5</v>
      </c>
      <c r="I197" s="14">
        <v>59.99</v>
      </c>
      <c r="J197" s="12" t="s">
        <v>57</v>
      </c>
      <c r="K197" s="12" t="s">
        <v>63</v>
      </c>
      <c r="L197" s="12" t="s">
        <v>22</v>
      </c>
      <c r="M197" s="13">
        <v>44642</v>
      </c>
      <c r="N197" s="1">
        <v>299.95</v>
      </c>
      <c r="O197" s="12" t="str">
        <f>TEXT(B197,"mmm-yyyy")</f>
        <v>Jan-2025</v>
      </c>
      <c r="P197" s="13">
        <f>EOMONTH(B197,0)</f>
        <v>45688</v>
      </c>
      <c r="Q197" s="12">
        <f ca="1">DATEDIF(M197,TODAY(),"y")</f>
        <v>4</v>
      </c>
      <c r="R197" s="15">
        <f ca="1">NOW()</f>
        <v>46282.345924652778</v>
      </c>
      <c r="S197" s="12" t="str">
        <f>UPPER(LEFT(D197,1)&amp;LEFT(RIGHT(D197,LEN(D197)-FIND(" ",D197)),1))</f>
        <v>LA</v>
      </c>
    </row>
    <row r="198" spans="1:19">
      <c r="A198" s="12" t="s">
        <v>343</v>
      </c>
      <c r="B198" s="13">
        <v>45682</v>
      </c>
      <c r="C198" s="12" t="s">
        <v>68</v>
      </c>
      <c r="D198" s="12" t="s">
        <v>69</v>
      </c>
      <c r="E198" s="12" t="s">
        <v>31</v>
      </c>
      <c r="F198" s="12" t="s">
        <v>32</v>
      </c>
      <c r="G198" s="12" t="s">
        <v>33</v>
      </c>
      <c r="H198" s="12">
        <v>4</v>
      </c>
      <c r="I198" s="14">
        <v>59.99</v>
      </c>
      <c r="J198" s="12" t="s">
        <v>57</v>
      </c>
      <c r="K198" s="12" t="s">
        <v>63</v>
      </c>
      <c r="L198" s="12" t="s">
        <v>36</v>
      </c>
      <c r="M198" s="13">
        <v>44564</v>
      </c>
      <c r="N198" s="1">
        <v>239.96</v>
      </c>
      <c r="O198" s="12" t="str">
        <f>TEXT(B198,"mmm-yyyy")</f>
        <v>Jan-2025</v>
      </c>
      <c r="P198" s="13">
        <f>EOMONTH(B198,0)</f>
        <v>45688</v>
      </c>
      <c r="Q198" s="12">
        <f ca="1">DATEDIF(M198,TODAY(),"y")</f>
        <v>4</v>
      </c>
      <c r="R198" s="15">
        <f ca="1">NOW()</f>
        <v>46282.345924652778</v>
      </c>
      <c r="S198" s="12" t="str">
        <f>UPPER(LEFT(D198,1)&amp;LEFT(RIGHT(D198,LEN(D198)-FIND(" ",D198)),1))</f>
        <v>SG</v>
      </c>
    </row>
    <row r="199" spans="1:19">
      <c r="A199" s="12" t="s">
        <v>344</v>
      </c>
      <c r="B199" s="13">
        <v>45683</v>
      </c>
      <c r="C199" s="12" t="s">
        <v>48</v>
      </c>
      <c r="D199" s="12" t="s">
        <v>49</v>
      </c>
      <c r="E199" s="12" t="s">
        <v>17</v>
      </c>
      <c r="F199" s="12" t="s">
        <v>18</v>
      </c>
      <c r="G199" s="12" t="s">
        <v>19</v>
      </c>
      <c r="H199" s="12">
        <v>4</v>
      </c>
      <c r="I199" s="14">
        <v>249.99</v>
      </c>
      <c r="J199" s="12" t="s">
        <v>57</v>
      </c>
      <c r="K199" s="12" t="s">
        <v>21</v>
      </c>
      <c r="L199" s="12" t="s">
        <v>27</v>
      </c>
      <c r="M199" s="13">
        <v>45217</v>
      </c>
      <c r="N199" s="1">
        <v>999.96</v>
      </c>
      <c r="O199" s="12" t="str">
        <f>TEXT(B199,"mmm-yyyy")</f>
        <v>Jan-2025</v>
      </c>
      <c r="P199" s="13">
        <f>EOMONTH(B199,0)</f>
        <v>45688</v>
      </c>
      <c r="Q199" s="12">
        <f ca="1">DATEDIF(M199,TODAY(),"y")</f>
        <v>2</v>
      </c>
      <c r="R199" s="15">
        <f ca="1">NOW()</f>
        <v>46282.345924652778</v>
      </c>
      <c r="S199" s="12" t="str">
        <f>UPPER(LEFT(D199,1)&amp;LEFT(RIGHT(D199,LEN(D199)-FIND(" ",D199)),1))</f>
        <v>DN</v>
      </c>
    </row>
    <row r="200" spans="1:19">
      <c r="A200" s="12" t="s">
        <v>345</v>
      </c>
      <c r="B200" s="13">
        <v>45686</v>
      </c>
      <c r="C200" s="12" t="s">
        <v>252</v>
      </c>
      <c r="D200" s="12" t="s">
        <v>253</v>
      </c>
      <c r="E200" s="12" t="s">
        <v>61</v>
      </c>
      <c r="F200" s="12" t="s">
        <v>62</v>
      </c>
      <c r="G200" s="12" t="s">
        <v>19</v>
      </c>
      <c r="H200" s="12">
        <v>4</v>
      </c>
      <c r="I200" s="14">
        <v>899.99</v>
      </c>
      <c r="J200" s="12" t="s">
        <v>34</v>
      </c>
      <c r="K200" s="12" t="s">
        <v>21</v>
      </c>
      <c r="L200" s="12" t="s">
        <v>22</v>
      </c>
      <c r="M200" s="13">
        <v>44734</v>
      </c>
      <c r="N200" s="1">
        <v>3599.96</v>
      </c>
      <c r="O200" s="12" t="str">
        <f>TEXT(B200,"mmm-yyyy")</f>
        <v>Jan-2025</v>
      </c>
      <c r="P200" s="13">
        <f>EOMONTH(B200,0)</f>
        <v>45688</v>
      </c>
      <c r="Q200" s="12">
        <f ca="1">DATEDIF(M200,TODAY(),"y")</f>
        <v>4</v>
      </c>
      <c r="R200" s="15">
        <f ca="1">NOW()</f>
        <v>46282.345924652778</v>
      </c>
      <c r="S200" s="12" t="str">
        <f>UPPER(LEFT(D200,1)&amp;LEFT(RIGHT(D200,LEN(D200)-FIND(" ",D200)),1))</f>
        <v>WW</v>
      </c>
    </row>
    <row r="201" spans="1:19">
      <c r="A201" s="12" t="s">
        <v>346</v>
      </c>
      <c r="B201" s="13">
        <v>45686</v>
      </c>
      <c r="C201" s="12" t="s">
        <v>86</v>
      </c>
      <c r="D201" s="12" t="s">
        <v>87</v>
      </c>
      <c r="E201" s="12" t="s">
        <v>105</v>
      </c>
      <c r="F201" s="12" t="s">
        <v>106</v>
      </c>
      <c r="G201" s="12" t="s">
        <v>46</v>
      </c>
      <c r="H201" s="12">
        <v>3</v>
      </c>
      <c r="I201" s="14">
        <v>299.99</v>
      </c>
      <c r="J201" s="12" t="s">
        <v>57</v>
      </c>
      <c r="K201" s="12" t="s">
        <v>50</v>
      </c>
      <c r="L201" s="12" t="s">
        <v>36</v>
      </c>
      <c r="M201" s="13">
        <v>44952</v>
      </c>
      <c r="N201" s="1">
        <v>899.97</v>
      </c>
      <c r="O201" s="12" t="str">
        <f>TEXT(B201,"mmm-yyyy")</f>
        <v>Jan-2025</v>
      </c>
      <c r="P201" s="13">
        <f>EOMONTH(B201,0)</f>
        <v>45688</v>
      </c>
      <c r="Q201" s="12">
        <f ca="1">DATEDIF(M201,TODAY(),"y")</f>
        <v>3</v>
      </c>
      <c r="R201" s="15">
        <f ca="1">NOW()</f>
        <v>46282.345924652778</v>
      </c>
      <c r="S201" s="12" t="str">
        <f>UPPER(LEFT(D201,1)&amp;LEFT(RIGHT(D201,LEN(D201)-FIND(" ",D201)),1))</f>
        <v>MC</v>
      </c>
    </row>
    <row r="202" spans="1:19">
      <c r="A202" s="12" t="s">
        <v>347</v>
      </c>
      <c r="B202" s="13">
        <v>45686</v>
      </c>
      <c r="C202" s="12" t="s">
        <v>293</v>
      </c>
      <c r="D202" s="12" t="s">
        <v>294</v>
      </c>
      <c r="E202" s="12" t="s">
        <v>80</v>
      </c>
      <c r="F202" s="12" t="s">
        <v>81</v>
      </c>
      <c r="G202" s="12" t="s">
        <v>19</v>
      </c>
      <c r="H202" s="12">
        <v>2</v>
      </c>
      <c r="I202" s="14">
        <v>699.99</v>
      </c>
      <c r="J202" s="12" t="s">
        <v>57</v>
      </c>
      <c r="K202" s="12" t="s">
        <v>21</v>
      </c>
      <c r="L202" s="12" t="s">
        <v>27</v>
      </c>
      <c r="M202" s="13">
        <v>44681</v>
      </c>
      <c r="N202" s="1">
        <v>1399.98</v>
      </c>
      <c r="O202" s="12" t="str">
        <f>TEXT(B202,"mmm-yyyy")</f>
        <v>Jan-2025</v>
      </c>
      <c r="P202" s="13">
        <f>EOMONTH(B202,0)</f>
        <v>45688</v>
      </c>
      <c r="Q202" s="12">
        <f ca="1">DATEDIF(M202,TODAY(),"y")</f>
        <v>4</v>
      </c>
      <c r="R202" s="15">
        <f ca="1">NOW()</f>
        <v>46282.345924652778</v>
      </c>
      <c r="S202" s="12" t="str">
        <f>UPPER(LEFT(D202,1)&amp;LEFT(RIGHT(D202,LEN(D202)-FIND(" ",D202)),1))</f>
        <v>DW</v>
      </c>
    </row>
    <row r="203" spans="1:19">
      <c r="A203" s="12" t="s">
        <v>348</v>
      </c>
      <c r="B203" s="13">
        <v>45688</v>
      </c>
      <c r="C203" s="12" t="s">
        <v>65</v>
      </c>
      <c r="D203" s="12" t="s">
        <v>66</v>
      </c>
      <c r="E203" s="12" t="s">
        <v>80</v>
      </c>
      <c r="F203" s="12" t="s">
        <v>81</v>
      </c>
      <c r="G203" s="12" t="s">
        <v>19</v>
      </c>
      <c r="H203" s="12">
        <v>4</v>
      </c>
      <c r="I203" s="14">
        <v>699.99</v>
      </c>
      <c r="J203" s="12" t="s">
        <v>57</v>
      </c>
      <c r="K203" s="12" t="s">
        <v>50</v>
      </c>
      <c r="L203" s="12" t="s">
        <v>27</v>
      </c>
      <c r="M203" s="13">
        <v>44692</v>
      </c>
      <c r="N203" s="1">
        <v>2799.96</v>
      </c>
      <c r="O203" s="12" t="str">
        <f>TEXT(B203,"mmm-yyyy")</f>
        <v>Jan-2025</v>
      </c>
      <c r="P203" s="13">
        <f>EOMONTH(B203,0)</f>
        <v>45688</v>
      </c>
      <c r="Q203" s="12">
        <f ca="1">DATEDIF(M203,TODAY(),"y")</f>
        <v>4</v>
      </c>
      <c r="R203" s="15">
        <f ca="1">NOW()</f>
        <v>46282.345924652778</v>
      </c>
      <c r="S203" s="12" t="str">
        <f>UPPER(LEFT(D203,1)&amp;LEFT(RIGHT(D203,LEN(D203)-FIND(" ",D203)),1))</f>
        <v>KH</v>
      </c>
    </row>
    <row r="204" spans="1:19">
      <c r="A204" s="12" t="s">
        <v>349</v>
      </c>
      <c r="B204" s="13">
        <v>45688</v>
      </c>
      <c r="C204" s="12" t="s">
        <v>123</v>
      </c>
      <c r="D204" s="12" t="s">
        <v>124</v>
      </c>
      <c r="E204" s="12" t="s">
        <v>117</v>
      </c>
      <c r="F204" s="12" t="s">
        <v>118</v>
      </c>
      <c r="G204" s="12" t="s">
        <v>19</v>
      </c>
      <c r="H204" s="12">
        <v>2</v>
      </c>
      <c r="I204" s="14">
        <v>89.99</v>
      </c>
      <c r="J204" s="12" t="s">
        <v>57</v>
      </c>
      <c r="K204" s="12" t="s">
        <v>35</v>
      </c>
      <c r="L204" s="12" t="s">
        <v>22</v>
      </c>
      <c r="M204" s="13">
        <v>44777</v>
      </c>
      <c r="N204" s="1">
        <v>179.98</v>
      </c>
      <c r="O204" s="12" t="str">
        <f>TEXT(B204,"mmm-yyyy")</f>
        <v>Jan-2025</v>
      </c>
      <c r="P204" s="13">
        <f>EOMONTH(B204,0)</f>
        <v>45688</v>
      </c>
      <c r="Q204" s="12">
        <f ca="1">DATEDIF(M204,TODAY(),"y")</f>
        <v>4</v>
      </c>
      <c r="R204" s="15">
        <f ca="1">NOW()</f>
        <v>46282.345924652778</v>
      </c>
      <c r="S204" s="12" t="str">
        <f>UPPER(LEFT(D204,1)&amp;LEFT(RIGHT(D204,LEN(D204)-FIND(" ",D204)),1))</f>
        <v>EM</v>
      </c>
    </row>
    <row r="205" spans="1:19">
      <c r="A205" s="12" t="s">
        <v>350</v>
      </c>
      <c r="B205" s="13">
        <v>45688</v>
      </c>
      <c r="C205" s="12" t="s">
        <v>42</v>
      </c>
      <c r="D205" s="12" t="s">
        <v>43</v>
      </c>
      <c r="E205" s="12" t="s">
        <v>117</v>
      </c>
      <c r="F205" s="12" t="s">
        <v>118</v>
      </c>
      <c r="G205" s="12" t="s">
        <v>19</v>
      </c>
      <c r="H205" s="12">
        <v>3</v>
      </c>
      <c r="I205" s="14">
        <v>89.99</v>
      </c>
      <c r="J205" s="12" t="s">
        <v>57</v>
      </c>
      <c r="K205" s="12" t="s">
        <v>35</v>
      </c>
      <c r="L205" s="12" t="s">
        <v>27</v>
      </c>
      <c r="M205" s="13">
        <v>45307</v>
      </c>
      <c r="N205" s="1">
        <v>269.97000000000003</v>
      </c>
      <c r="O205" s="12" t="str">
        <f>TEXT(B205,"mmm-yyyy")</f>
        <v>Jan-2025</v>
      </c>
      <c r="P205" s="13">
        <f>EOMONTH(B205,0)</f>
        <v>45688</v>
      </c>
      <c r="Q205" s="12">
        <f ca="1">DATEDIF(M205,TODAY(),"y")</f>
        <v>2</v>
      </c>
      <c r="R205" s="15">
        <f ca="1">NOW()</f>
        <v>46282.345924652778</v>
      </c>
      <c r="S205" s="12" t="str">
        <f>UPPER(LEFT(D205,1)&amp;LEFT(RIGHT(D205,LEN(D205)-FIND(" ",D205)),1))</f>
        <v>MB</v>
      </c>
    </row>
    <row r="206" spans="1:19">
      <c r="A206" s="12" t="s">
        <v>351</v>
      </c>
      <c r="B206" s="13">
        <v>45692</v>
      </c>
      <c r="C206" s="12" t="s">
        <v>325</v>
      </c>
      <c r="D206" s="12" t="s">
        <v>326</v>
      </c>
      <c r="E206" s="12" t="s">
        <v>31</v>
      </c>
      <c r="F206" s="12" t="s">
        <v>32</v>
      </c>
      <c r="G206" s="12" t="s">
        <v>33</v>
      </c>
      <c r="H206" s="12">
        <v>1</v>
      </c>
      <c r="I206" s="14">
        <v>59.99</v>
      </c>
      <c r="J206" s="12" t="s">
        <v>57</v>
      </c>
      <c r="K206" s="12" t="s">
        <v>21</v>
      </c>
      <c r="L206" s="12" t="s">
        <v>36</v>
      </c>
      <c r="M206" s="13">
        <v>45045</v>
      </c>
      <c r="N206" s="1">
        <v>59.99</v>
      </c>
      <c r="O206" s="12" t="str">
        <f>TEXT(B206,"mmm-yyyy")</f>
        <v>Feb-2025</v>
      </c>
      <c r="P206" s="13">
        <f>EOMONTH(B206,0)</f>
        <v>45716</v>
      </c>
      <c r="Q206" s="12">
        <f ca="1">DATEDIF(M206,TODAY(),"y")</f>
        <v>3</v>
      </c>
      <c r="R206" s="15">
        <f ca="1">NOW()</f>
        <v>46282.345924652778</v>
      </c>
      <c r="S206" s="12" t="str">
        <f>UPPER(LEFT(D206,1)&amp;LEFT(RIGHT(D206,LEN(D206)-FIND(" ",D206)),1))</f>
        <v>AE</v>
      </c>
    </row>
    <row r="207" spans="1:19">
      <c r="A207" s="12" t="s">
        <v>352</v>
      </c>
      <c r="B207" s="13">
        <v>45695</v>
      </c>
      <c r="C207" s="12" t="s">
        <v>246</v>
      </c>
      <c r="D207" s="12" t="s">
        <v>247</v>
      </c>
      <c r="E207" s="12" t="s">
        <v>44</v>
      </c>
      <c r="F207" s="12" t="s">
        <v>45</v>
      </c>
      <c r="G207" s="12" t="s">
        <v>46</v>
      </c>
      <c r="H207" s="12">
        <v>3</v>
      </c>
      <c r="I207" s="14">
        <v>149.99</v>
      </c>
      <c r="J207" s="12" t="s">
        <v>57</v>
      </c>
      <c r="K207" s="12" t="s">
        <v>40</v>
      </c>
      <c r="L207" s="12" t="s">
        <v>27</v>
      </c>
      <c r="M207" s="13">
        <v>44564</v>
      </c>
      <c r="N207" s="1">
        <v>449.97</v>
      </c>
      <c r="O207" s="12" t="str">
        <f>TEXT(B207,"mmm-yyyy")</f>
        <v>Feb-2025</v>
      </c>
      <c r="P207" s="13">
        <f>EOMONTH(B207,0)</f>
        <v>45716</v>
      </c>
      <c r="Q207" s="12">
        <f ca="1">DATEDIF(M207,TODAY(),"y")</f>
        <v>4</v>
      </c>
      <c r="R207" s="15">
        <f ca="1">NOW()</f>
        <v>46282.345924652778</v>
      </c>
      <c r="S207" s="12" t="str">
        <f>UPPER(LEFT(D207,1)&amp;LEFT(RIGHT(D207,LEN(D207)-FIND(" ",D207)),1))</f>
        <v>RB</v>
      </c>
    </row>
    <row r="208" spans="1:19">
      <c r="A208" s="12" t="s">
        <v>353</v>
      </c>
      <c r="B208" s="13">
        <v>45695</v>
      </c>
      <c r="C208" s="12" t="s">
        <v>93</v>
      </c>
      <c r="D208" s="12" t="s">
        <v>94</v>
      </c>
      <c r="E208" s="12" t="s">
        <v>105</v>
      </c>
      <c r="F208" s="12" t="s">
        <v>106</v>
      </c>
      <c r="G208" s="12" t="s">
        <v>46</v>
      </c>
      <c r="H208" s="12">
        <v>5</v>
      </c>
      <c r="I208" s="14">
        <v>299.99</v>
      </c>
      <c r="J208" s="12" t="s">
        <v>26</v>
      </c>
      <c r="K208" s="12" t="s">
        <v>35</v>
      </c>
      <c r="L208" s="12" t="s">
        <v>22</v>
      </c>
      <c r="M208" s="13">
        <v>44959</v>
      </c>
      <c r="N208" s="1">
        <v>1499.95</v>
      </c>
      <c r="O208" s="12" t="str">
        <f>TEXT(B208,"mmm-yyyy")</f>
        <v>Feb-2025</v>
      </c>
      <c r="P208" s="13">
        <f>EOMONTH(B208,0)</f>
        <v>45716</v>
      </c>
      <c r="Q208" s="12">
        <f ca="1">DATEDIF(M208,TODAY(),"y")</f>
        <v>3</v>
      </c>
      <c r="R208" s="15">
        <f ca="1">NOW()</f>
        <v>46282.345924652778</v>
      </c>
      <c r="S208" s="12" t="str">
        <f>UPPER(LEFT(D208,1)&amp;LEFT(RIGHT(D208,LEN(D208)-FIND(" ",D208)),1))</f>
        <v>VS</v>
      </c>
    </row>
    <row r="209" spans="1:19">
      <c r="A209" s="12" t="s">
        <v>354</v>
      </c>
      <c r="B209" s="13">
        <v>45696</v>
      </c>
      <c r="C209" s="12" t="s">
        <v>150</v>
      </c>
      <c r="D209" s="12" t="s">
        <v>151</v>
      </c>
      <c r="E209" s="12" t="s">
        <v>31</v>
      </c>
      <c r="F209" s="12" t="s">
        <v>32</v>
      </c>
      <c r="G209" s="12" t="s">
        <v>33</v>
      </c>
      <c r="H209" s="12">
        <v>5</v>
      </c>
      <c r="I209" s="14">
        <v>59.99</v>
      </c>
      <c r="J209" s="12" t="s">
        <v>57</v>
      </c>
      <c r="K209" s="12" t="s">
        <v>21</v>
      </c>
      <c r="L209" s="12" t="s">
        <v>36</v>
      </c>
      <c r="M209" s="13">
        <v>45177</v>
      </c>
      <c r="N209" s="1">
        <v>299.95</v>
      </c>
      <c r="O209" s="12" t="str">
        <f>TEXT(B209,"mmm-yyyy")</f>
        <v>Feb-2025</v>
      </c>
      <c r="P209" s="13">
        <f>EOMONTH(B209,0)</f>
        <v>45716</v>
      </c>
      <c r="Q209" s="12">
        <f ca="1">DATEDIF(M209,TODAY(),"y")</f>
        <v>3</v>
      </c>
      <c r="R209" s="15">
        <f ca="1">NOW()</f>
        <v>46282.345924652778</v>
      </c>
      <c r="S209" s="12" t="str">
        <f>UPPER(LEFT(D209,1)&amp;LEFT(RIGHT(D209,LEN(D209)-FIND(" ",D209)),1))</f>
        <v>SB</v>
      </c>
    </row>
    <row r="210" spans="1:19">
      <c r="A210" s="12" t="s">
        <v>355</v>
      </c>
      <c r="B210" s="13">
        <v>45701</v>
      </c>
      <c r="C210" s="12" t="s">
        <v>108</v>
      </c>
      <c r="D210" s="12" t="s">
        <v>109</v>
      </c>
      <c r="E210" s="12" t="s">
        <v>114</v>
      </c>
      <c r="F210" s="12" t="s">
        <v>115</v>
      </c>
      <c r="G210" s="12" t="s">
        <v>33</v>
      </c>
      <c r="H210" s="12">
        <v>3</v>
      </c>
      <c r="I210" s="14">
        <v>79.989999999999995</v>
      </c>
      <c r="J210" s="12" t="s">
        <v>20</v>
      </c>
      <c r="K210" s="12" t="s">
        <v>63</v>
      </c>
      <c r="L210" s="12" t="s">
        <v>27</v>
      </c>
      <c r="M210" s="13">
        <v>44436</v>
      </c>
      <c r="N210" s="1">
        <v>239.97</v>
      </c>
      <c r="O210" s="12" t="str">
        <f>TEXT(B210,"mmm-yyyy")</f>
        <v>Feb-2025</v>
      </c>
      <c r="P210" s="13">
        <f>EOMONTH(B210,0)</f>
        <v>45716</v>
      </c>
      <c r="Q210" s="12">
        <f ca="1">DATEDIF(M210,TODAY(),"y")</f>
        <v>5</v>
      </c>
      <c r="R210" s="15">
        <f ca="1">NOW()</f>
        <v>46282.345924652778</v>
      </c>
      <c r="S210" s="12" t="str">
        <f>UPPER(LEFT(D210,1)&amp;LEFT(RIGHT(D210,LEN(D210)-FIND(" ",D210)),1))</f>
        <v>NC</v>
      </c>
    </row>
    <row r="211" spans="1:19">
      <c r="A211" s="12" t="s">
        <v>356</v>
      </c>
      <c r="B211" s="13">
        <v>45704</v>
      </c>
      <c r="C211" s="12" t="s">
        <v>29</v>
      </c>
      <c r="D211" s="12" t="s">
        <v>30</v>
      </c>
      <c r="E211" s="12" t="s">
        <v>126</v>
      </c>
      <c r="F211" s="12" t="s">
        <v>127</v>
      </c>
      <c r="G211" s="12" t="s">
        <v>46</v>
      </c>
      <c r="H211" s="12">
        <v>3</v>
      </c>
      <c r="I211" s="14">
        <v>199.99</v>
      </c>
      <c r="J211" s="12" t="s">
        <v>20</v>
      </c>
      <c r="K211" s="12" t="s">
        <v>21</v>
      </c>
      <c r="L211" s="12" t="s">
        <v>22</v>
      </c>
      <c r="M211" s="13">
        <v>44735</v>
      </c>
      <c r="N211" s="1">
        <v>599.97</v>
      </c>
      <c r="O211" s="12" t="str">
        <f>TEXT(B211,"mmm-yyyy")</f>
        <v>Feb-2025</v>
      </c>
      <c r="P211" s="13">
        <f>EOMONTH(B211,0)</f>
        <v>45716</v>
      </c>
      <c r="Q211" s="12">
        <f ca="1">DATEDIF(M211,TODAY(),"y")</f>
        <v>4</v>
      </c>
      <c r="R211" s="15">
        <f ca="1">NOW()</f>
        <v>46282.345924652778</v>
      </c>
      <c r="S211" s="12" t="str">
        <f>UPPER(LEFT(D211,1)&amp;LEFT(RIGHT(D211,LEN(D211)-FIND(" ",D211)),1))</f>
        <v>KS</v>
      </c>
    </row>
    <row r="212" spans="1:19">
      <c r="A212" s="12" t="s">
        <v>357</v>
      </c>
      <c r="B212" s="13">
        <v>45704</v>
      </c>
      <c r="C212" s="12" t="s">
        <v>15</v>
      </c>
      <c r="D212" s="12" t="s">
        <v>16</v>
      </c>
      <c r="E212" s="12" t="s">
        <v>117</v>
      </c>
      <c r="F212" s="12" t="s">
        <v>118</v>
      </c>
      <c r="G212" s="12" t="s">
        <v>19</v>
      </c>
      <c r="H212" s="12">
        <v>2</v>
      </c>
      <c r="I212" s="14">
        <v>89.99</v>
      </c>
      <c r="J212" s="12" t="s">
        <v>34</v>
      </c>
      <c r="K212" s="12" t="s">
        <v>21</v>
      </c>
      <c r="L212" s="12" t="s">
        <v>22</v>
      </c>
      <c r="M212" s="13">
        <v>45257</v>
      </c>
      <c r="N212" s="1">
        <v>179.98</v>
      </c>
      <c r="O212" s="12" t="str">
        <f>TEXT(B212,"mmm-yyyy")</f>
        <v>Feb-2025</v>
      </c>
      <c r="P212" s="13">
        <f>EOMONTH(B212,0)</f>
        <v>45716</v>
      </c>
      <c r="Q212" s="12">
        <f ca="1">DATEDIF(M212,TODAY(),"y")</f>
        <v>2</v>
      </c>
      <c r="R212" s="15">
        <f ca="1">NOW()</f>
        <v>46282.345924652778</v>
      </c>
      <c r="S212" s="12" t="str">
        <f>UPPER(LEFT(D212,1)&amp;LEFT(RIGHT(D212,LEN(D212)-FIND(" ",D212)),1))</f>
        <v>PB</v>
      </c>
    </row>
    <row r="213" spans="1:19">
      <c r="A213" s="12" t="s">
        <v>358</v>
      </c>
      <c r="B213" s="13">
        <v>45705</v>
      </c>
      <c r="C213" s="12" t="s">
        <v>259</v>
      </c>
      <c r="D213" s="12" t="s">
        <v>260</v>
      </c>
      <c r="E213" s="12" t="s">
        <v>44</v>
      </c>
      <c r="F213" s="12" t="s">
        <v>45</v>
      </c>
      <c r="G213" s="12" t="s">
        <v>46</v>
      </c>
      <c r="H213" s="12">
        <v>2</v>
      </c>
      <c r="I213" s="14">
        <v>149.99</v>
      </c>
      <c r="J213" s="12" t="s">
        <v>20</v>
      </c>
      <c r="K213" s="12" t="s">
        <v>35</v>
      </c>
      <c r="L213" s="12" t="s">
        <v>27</v>
      </c>
      <c r="M213" s="13">
        <v>44728</v>
      </c>
      <c r="N213" s="1">
        <v>299.98</v>
      </c>
      <c r="O213" s="12" t="str">
        <f>TEXT(B213,"mmm-yyyy")</f>
        <v>Feb-2025</v>
      </c>
      <c r="P213" s="13">
        <f>EOMONTH(B213,0)</f>
        <v>45716</v>
      </c>
      <c r="Q213" s="12">
        <f ca="1">DATEDIF(M213,TODAY(),"y")</f>
        <v>4</v>
      </c>
      <c r="R213" s="15">
        <f ca="1">NOW()</f>
        <v>46282.345924652778</v>
      </c>
      <c r="S213" s="12" t="str">
        <f>UPPER(LEFT(D213,1)&amp;LEFT(RIGHT(D213,LEN(D213)-FIND(" ",D213)),1))</f>
        <v>RL</v>
      </c>
    </row>
    <row r="214" spans="1:19">
      <c r="A214" s="12" t="s">
        <v>359</v>
      </c>
      <c r="B214" s="13">
        <v>45707</v>
      </c>
      <c r="C214" s="12" t="s">
        <v>123</v>
      </c>
      <c r="D214" s="12" t="s">
        <v>124</v>
      </c>
      <c r="E214" s="12" t="s">
        <v>80</v>
      </c>
      <c r="F214" s="12" t="s">
        <v>81</v>
      </c>
      <c r="G214" s="12" t="s">
        <v>19</v>
      </c>
      <c r="H214" s="12">
        <v>5</v>
      </c>
      <c r="I214" s="14">
        <v>699.99</v>
      </c>
      <c r="J214" s="12" t="s">
        <v>34</v>
      </c>
      <c r="K214" s="12" t="s">
        <v>35</v>
      </c>
      <c r="L214" s="12" t="s">
        <v>27</v>
      </c>
      <c r="M214" s="13">
        <v>45352</v>
      </c>
      <c r="N214" s="1">
        <v>3499.95</v>
      </c>
      <c r="O214" s="12" t="str">
        <f>TEXT(B214,"mmm-yyyy")</f>
        <v>Feb-2025</v>
      </c>
      <c r="P214" s="13">
        <f>EOMONTH(B214,0)</f>
        <v>45716</v>
      </c>
      <c r="Q214" s="12">
        <f ca="1">DATEDIF(M214,TODAY(),"y")</f>
        <v>2</v>
      </c>
      <c r="R214" s="15">
        <f ca="1">NOW()</f>
        <v>46282.345924652778</v>
      </c>
      <c r="S214" s="12" t="str">
        <f>UPPER(LEFT(D214,1)&amp;LEFT(RIGHT(D214,LEN(D214)-FIND(" ",D214)),1))</f>
        <v>EM</v>
      </c>
    </row>
    <row r="215" spans="1:19">
      <c r="A215" s="12" t="s">
        <v>360</v>
      </c>
      <c r="B215" s="13">
        <v>45707</v>
      </c>
      <c r="C215" s="12" t="s">
        <v>42</v>
      </c>
      <c r="D215" s="12" t="s">
        <v>43</v>
      </c>
      <c r="E215" s="12" t="s">
        <v>44</v>
      </c>
      <c r="F215" s="12" t="s">
        <v>45</v>
      </c>
      <c r="G215" s="12" t="s">
        <v>46</v>
      </c>
      <c r="H215" s="12">
        <v>3</v>
      </c>
      <c r="I215" s="14">
        <v>149.99</v>
      </c>
      <c r="J215" s="12" t="s">
        <v>34</v>
      </c>
      <c r="K215" s="12" t="s">
        <v>21</v>
      </c>
      <c r="L215" s="12" t="s">
        <v>36</v>
      </c>
      <c r="M215" s="13">
        <v>44633</v>
      </c>
      <c r="N215" s="1">
        <v>449.97</v>
      </c>
      <c r="O215" s="12" t="str">
        <f>TEXT(B215,"mmm-yyyy")</f>
        <v>Feb-2025</v>
      </c>
      <c r="P215" s="13">
        <f>EOMONTH(B215,0)</f>
        <v>45716</v>
      </c>
      <c r="Q215" s="12">
        <f ca="1">DATEDIF(M215,TODAY(),"y")</f>
        <v>4</v>
      </c>
      <c r="R215" s="15">
        <f ca="1">NOW()</f>
        <v>46282.345924652778</v>
      </c>
      <c r="S215" s="12" t="str">
        <f>UPPER(LEFT(D215,1)&amp;LEFT(RIGHT(D215,LEN(D215)-FIND(" ",D215)),1))</f>
        <v>MB</v>
      </c>
    </row>
    <row r="216" spans="1:19">
      <c r="A216" s="12" t="s">
        <v>361</v>
      </c>
      <c r="B216" s="13">
        <v>45708</v>
      </c>
      <c r="C216" s="12" t="s">
        <v>96</v>
      </c>
      <c r="D216" s="12" t="s">
        <v>97</v>
      </c>
      <c r="E216" s="12" t="s">
        <v>61</v>
      </c>
      <c r="F216" s="12" t="s">
        <v>62</v>
      </c>
      <c r="G216" s="12" t="s">
        <v>19</v>
      </c>
      <c r="H216" s="12">
        <v>3</v>
      </c>
      <c r="I216" s="14">
        <v>899.99</v>
      </c>
      <c r="J216" s="12" t="s">
        <v>20</v>
      </c>
      <c r="K216" s="12" t="s">
        <v>63</v>
      </c>
      <c r="L216" s="12" t="s">
        <v>36</v>
      </c>
      <c r="M216" s="13">
        <v>44613</v>
      </c>
      <c r="N216" s="1">
        <v>2699.97</v>
      </c>
      <c r="O216" s="12" t="str">
        <f>TEXT(B216,"mmm-yyyy")</f>
        <v>Feb-2025</v>
      </c>
      <c r="P216" s="13">
        <f>EOMONTH(B216,0)</f>
        <v>45716</v>
      </c>
      <c r="Q216" s="12">
        <f ca="1">DATEDIF(M216,TODAY(),"y")</f>
        <v>4</v>
      </c>
      <c r="R216" s="15">
        <f ca="1">NOW()</f>
        <v>46282.345924652778</v>
      </c>
      <c r="S216" s="12" t="str">
        <f>UPPER(LEFT(D216,1)&amp;LEFT(RIGHT(D216,LEN(D216)-FIND(" ",D216)),1))</f>
        <v>BY</v>
      </c>
    </row>
    <row r="217" spans="1:19">
      <c r="A217" s="12" t="s">
        <v>362</v>
      </c>
      <c r="B217" s="13">
        <v>45708</v>
      </c>
      <c r="C217" s="12" t="s">
        <v>192</v>
      </c>
      <c r="D217" s="12" t="s">
        <v>193</v>
      </c>
      <c r="E217" s="12" t="s">
        <v>126</v>
      </c>
      <c r="F217" s="12" t="s">
        <v>127</v>
      </c>
      <c r="G217" s="12" t="s">
        <v>46</v>
      </c>
      <c r="H217" s="12">
        <v>3</v>
      </c>
      <c r="I217" s="14">
        <v>199.99</v>
      </c>
      <c r="J217" s="12" t="s">
        <v>20</v>
      </c>
      <c r="K217" s="12" t="s">
        <v>50</v>
      </c>
      <c r="L217" s="12" t="s">
        <v>27</v>
      </c>
      <c r="M217" s="13">
        <v>44823</v>
      </c>
      <c r="N217" s="1">
        <v>599.97</v>
      </c>
      <c r="O217" s="12" t="str">
        <f>TEXT(B217,"mmm-yyyy")</f>
        <v>Feb-2025</v>
      </c>
      <c r="P217" s="13">
        <f>EOMONTH(B217,0)</f>
        <v>45716</v>
      </c>
      <c r="Q217" s="12">
        <f ca="1">DATEDIF(M217,TODAY(),"y")</f>
        <v>3</v>
      </c>
      <c r="R217" s="15">
        <f ca="1">NOW()</f>
        <v>46282.345924652778</v>
      </c>
      <c r="S217" s="12" t="str">
        <f>UPPER(LEFT(D217,1)&amp;LEFT(RIGHT(D217,LEN(D217)-FIND(" ",D217)),1))</f>
        <v>FT</v>
      </c>
    </row>
    <row r="218" spans="1:19">
      <c r="A218" s="12" t="s">
        <v>363</v>
      </c>
      <c r="B218" s="13">
        <v>45710</v>
      </c>
      <c r="C218" s="12" t="s">
        <v>55</v>
      </c>
      <c r="D218" s="12" t="s">
        <v>56</v>
      </c>
      <c r="E218" s="12" t="s">
        <v>105</v>
      </c>
      <c r="F218" s="12" t="s">
        <v>106</v>
      </c>
      <c r="G218" s="12" t="s">
        <v>46</v>
      </c>
      <c r="H218" s="12">
        <v>5</v>
      </c>
      <c r="I218" s="14">
        <v>299.99</v>
      </c>
      <c r="J218" s="12" t="s">
        <v>20</v>
      </c>
      <c r="K218" s="12" t="s">
        <v>50</v>
      </c>
      <c r="L218" s="12" t="s">
        <v>36</v>
      </c>
      <c r="M218" s="13">
        <v>45142</v>
      </c>
      <c r="N218" s="1">
        <v>1499.95</v>
      </c>
      <c r="O218" s="12" t="str">
        <f>TEXT(B218,"mmm-yyyy")</f>
        <v>Feb-2025</v>
      </c>
      <c r="P218" s="13">
        <f>EOMONTH(B218,0)</f>
        <v>45716</v>
      </c>
      <c r="Q218" s="12">
        <f ca="1">DATEDIF(M218,TODAY(),"y")</f>
        <v>3</v>
      </c>
      <c r="R218" s="15">
        <f ca="1">NOW()</f>
        <v>46282.345924652778</v>
      </c>
      <c r="S218" s="12" t="str">
        <f>UPPER(LEFT(D218,1)&amp;LEFT(RIGHT(D218,LEN(D218)-FIND(" ",D218)),1))</f>
        <v>CA</v>
      </c>
    </row>
    <row r="219" spans="1:19">
      <c r="A219" s="12" t="s">
        <v>364</v>
      </c>
      <c r="B219" s="13">
        <v>45710</v>
      </c>
      <c r="C219" s="12" t="s">
        <v>150</v>
      </c>
      <c r="D219" s="12" t="s">
        <v>151</v>
      </c>
      <c r="E219" s="12" t="s">
        <v>80</v>
      </c>
      <c r="F219" s="12" t="s">
        <v>81</v>
      </c>
      <c r="G219" s="12" t="s">
        <v>19</v>
      </c>
      <c r="H219" s="12">
        <v>1</v>
      </c>
      <c r="I219" s="14">
        <v>699.99</v>
      </c>
      <c r="J219" s="12" t="s">
        <v>34</v>
      </c>
      <c r="K219" s="12" t="s">
        <v>50</v>
      </c>
      <c r="L219" s="12" t="s">
        <v>22</v>
      </c>
      <c r="M219" s="13">
        <v>44934</v>
      </c>
      <c r="N219" s="1">
        <v>699.99</v>
      </c>
      <c r="O219" s="12" t="str">
        <f>TEXT(B219,"mmm-yyyy")</f>
        <v>Feb-2025</v>
      </c>
      <c r="P219" s="13">
        <f>EOMONTH(B219,0)</f>
        <v>45716</v>
      </c>
      <c r="Q219" s="12">
        <f ca="1">DATEDIF(M219,TODAY(),"y")</f>
        <v>3</v>
      </c>
      <c r="R219" s="15">
        <f ca="1">NOW()</f>
        <v>46282.345924652778</v>
      </c>
      <c r="S219" s="12" t="str">
        <f>UPPER(LEFT(D219,1)&amp;LEFT(RIGHT(D219,LEN(D219)-FIND(" ",D219)),1))</f>
        <v>SB</v>
      </c>
    </row>
    <row r="220" spans="1:19">
      <c r="A220" s="12" t="s">
        <v>365</v>
      </c>
      <c r="B220" s="13">
        <v>45711</v>
      </c>
      <c r="C220" s="12" t="s">
        <v>246</v>
      </c>
      <c r="D220" s="12" t="s">
        <v>247</v>
      </c>
      <c r="E220" s="12" t="s">
        <v>80</v>
      </c>
      <c r="F220" s="12" t="s">
        <v>81</v>
      </c>
      <c r="G220" s="12" t="s">
        <v>19</v>
      </c>
      <c r="H220" s="12">
        <v>1</v>
      </c>
      <c r="I220" s="14">
        <v>699.99</v>
      </c>
      <c r="J220" s="12" t="s">
        <v>20</v>
      </c>
      <c r="K220" s="12" t="s">
        <v>40</v>
      </c>
      <c r="L220" s="12" t="s">
        <v>27</v>
      </c>
      <c r="M220" s="13">
        <v>44583</v>
      </c>
      <c r="N220" s="1">
        <v>699.99</v>
      </c>
      <c r="O220" s="12" t="str">
        <f>TEXT(B220,"mmm-yyyy")</f>
        <v>Feb-2025</v>
      </c>
      <c r="P220" s="13">
        <f>EOMONTH(B220,0)</f>
        <v>45716</v>
      </c>
      <c r="Q220" s="12">
        <f ca="1">DATEDIF(M220,TODAY(),"y")</f>
        <v>4</v>
      </c>
      <c r="R220" s="15">
        <f ca="1">NOW()</f>
        <v>46282.345924652778</v>
      </c>
      <c r="S220" s="12" t="str">
        <f>UPPER(LEFT(D220,1)&amp;LEFT(RIGHT(D220,LEN(D220)-FIND(" ",D220)),1))</f>
        <v>RB</v>
      </c>
    </row>
    <row r="221" spans="1:19">
      <c r="A221" s="12" t="s">
        <v>366</v>
      </c>
      <c r="B221" s="13">
        <v>45711</v>
      </c>
      <c r="C221" s="12" t="s">
        <v>325</v>
      </c>
      <c r="D221" s="12" t="s">
        <v>326</v>
      </c>
      <c r="E221" s="12" t="s">
        <v>44</v>
      </c>
      <c r="F221" s="12" t="s">
        <v>45</v>
      </c>
      <c r="G221" s="12" t="s">
        <v>46</v>
      </c>
      <c r="H221" s="12">
        <v>4</v>
      </c>
      <c r="I221" s="14">
        <v>149.99</v>
      </c>
      <c r="J221" s="12" t="s">
        <v>34</v>
      </c>
      <c r="K221" s="12" t="s">
        <v>40</v>
      </c>
      <c r="L221" s="12" t="s">
        <v>27</v>
      </c>
      <c r="M221" s="13">
        <v>44412</v>
      </c>
      <c r="N221" s="1">
        <v>599.96</v>
      </c>
      <c r="O221" s="12" t="str">
        <f>TEXT(B221,"mmm-yyyy")</f>
        <v>Feb-2025</v>
      </c>
      <c r="P221" s="13">
        <f>EOMONTH(B221,0)</f>
        <v>45716</v>
      </c>
      <c r="Q221" s="12">
        <f ca="1">DATEDIF(M221,TODAY(),"y")</f>
        <v>5</v>
      </c>
      <c r="R221" s="15">
        <f ca="1">NOW()</f>
        <v>46282.345924652778</v>
      </c>
      <c r="S221" s="12" t="str">
        <f>UPPER(LEFT(D221,1)&amp;LEFT(RIGHT(D221,LEN(D221)-FIND(" ",D221)),1))</f>
        <v>AE</v>
      </c>
    </row>
    <row r="222" spans="1:19">
      <c r="A222" s="12" t="s">
        <v>367</v>
      </c>
      <c r="B222" s="13">
        <v>45711</v>
      </c>
      <c r="C222" s="12" t="s">
        <v>211</v>
      </c>
      <c r="D222" s="12" t="s">
        <v>212</v>
      </c>
      <c r="E222" s="12" t="s">
        <v>117</v>
      </c>
      <c r="F222" s="12" t="s">
        <v>118</v>
      </c>
      <c r="G222" s="12" t="s">
        <v>19</v>
      </c>
      <c r="H222" s="12">
        <v>5</v>
      </c>
      <c r="I222" s="14">
        <v>89.99</v>
      </c>
      <c r="J222" s="12" t="s">
        <v>34</v>
      </c>
      <c r="K222" s="12" t="s">
        <v>50</v>
      </c>
      <c r="L222" s="12" t="s">
        <v>27</v>
      </c>
      <c r="M222" s="13">
        <v>45140</v>
      </c>
      <c r="N222" s="1">
        <v>449.95</v>
      </c>
      <c r="O222" s="12" t="str">
        <f>TEXT(B222,"mmm-yyyy")</f>
        <v>Feb-2025</v>
      </c>
      <c r="P222" s="13">
        <f>EOMONTH(B222,0)</f>
        <v>45716</v>
      </c>
      <c r="Q222" s="12">
        <f ca="1">DATEDIF(M222,TODAY(),"y")</f>
        <v>3</v>
      </c>
      <c r="R222" s="15">
        <f ca="1">NOW()</f>
        <v>46282.345924652778</v>
      </c>
      <c r="S222" s="12" t="str">
        <f>UPPER(LEFT(D222,1)&amp;LEFT(RIGHT(D222,LEN(D222)-FIND(" ",D222)),1))</f>
        <v>EH</v>
      </c>
    </row>
    <row r="223" spans="1:19">
      <c r="A223" s="12" t="s">
        <v>368</v>
      </c>
      <c r="B223" s="13">
        <v>45712</v>
      </c>
      <c r="C223" s="12" t="s">
        <v>138</v>
      </c>
      <c r="D223" s="12" t="s">
        <v>139</v>
      </c>
      <c r="E223" s="12" t="s">
        <v>126</v>
      </c>
      <c r="F223" s="12" t="s">
        <v>127</v>
      </c>
      <c r="G223" s="12" t="s">
        <v>46</v>
      </c>
      <c r="H223" s="12">
        <v>2</v>
      </c>
      <c r="I223" s="14">
        <v>199.99</v>
      </c>
      <c r="J223" s="12" t="s">
        <v>20</v>
      </c>
      <c r="K223" s="12" t="s">
        <v>21</v>
      </c>
      <c r="L223" s="12" t="s">
        <v>27</v>
      </c>
      <c r="M223" s="13">
        <v>44573</v>
      </c>
      <c r="N223" s="1">
        <v>399.98</v>
      </c>
      <c r="O223" s="12" t="str">
        <f>TEXT(B223,"mmm-yyyy")</f>
        <v>Feb-2025</v>
      </c>
      <c r="P223" s="13">
        <f>EOMONTH(B223,0)</f>
        <v>45716</v>
      </c>
      <c r="Q223" s="12">
        <f ca="1">DATEDIF(M223,TODAY(),"y")</f>
        <v>4</v>
      </c>
      <c r="R223" s="15">
        <f ca="1">NOW()</f>
        <v>46282.345924652778</v>
      </c>
      <c r="S223" s="12" t="str">
        <f>UPPER(LEFT(D223,1)&amp;LEFT(RIGHT(D223,LEN(D223)-FIND(" ",D223)),1))</f>
        <v>ST</v>
      </c>
    </row>
    <row r="224" spans="1:19">
      <c r="A224" s="12" t="s">
        <v>369</v>
      </c>
      <c r="B224" s="13">
        <v>45715</v>
      </c>
      <c r="C224" s="12" t="s">
        <v>259</v>
      </c>
      <c r="D224" s="12" t="s">
        <v>260</v>
      </c>
      <c r="E224" s="12" t="s">
        <v>31</v>
      </c>
      <c r="F224" s="12" t="s">
        <v>32</v>
      </c>
      <c r="G224" s="12" t="s">
        <v>33</v>
      </c>
      <c r="H224" s="12">
        <v>4</v>
      </c>
      <c r="I224" s="14">
        <v>59.99</v>
      </c>
      <c r="J224" s="12" t="s">
        <v>20</v>
      </c>
      <c r="K224" s="12" t="s">
        <v>50</v>
      </c>
      <c r="L224" s="12" t="s">
        <v>36</v>
      </c>
      <c r="M224" s="13">
        <v>45070</v>
      </c>
      <c r="N224" s="1">
        <v>239.96</v>
      </c>
      <c r="O224" s="12" t="str">
        <f>TEXT(B224,"mmm-yyyy")</f>
        <v>Feb-2025</v>
      </c>
      <c r="P224" s="13">
        <f>EOMONTH(B224,0)</f>
        <v>45716</v>
      </c>
      <c r="Q224" s="12">
        <f ca="1">DATEDIF(M224,TODAY(),"y")</f>
        <v>3</v>
      </c>
      <c r="R224" s="15">
        <f ca="1">NOW()</f>
        <v>46282.345924652778</v>
      </c>
      <c r="S224" s="12" t="str">
        <f>UPPER(LEFT(D224,1)&amp;LEFT(RIGHT(D224,LEN(D224)-FIND(" ",D224)),1))</f>
        <v>RL</v>
      </c>
    </row>
    <row r="225" spans="1:19">
      <c r="A225" s="12" t="s">
        <v>370</v>
      </c>
      <c r="B225" s="13">
        <v>45715</v>
      </c>
      <c r="C225" s="12" t="s">
        <v>93</v>
      </c>
      <c r="D225" s="12" t="s">
        <v>94</v>
      </c>
      <c r="E225" s="12" t="s">
        <v>105</v>
      </c>
      <c r="F225" s="12" t="s">
        <v>106</v>
      </c>
      <c r="G225" s="12" t="s">
        <v>46</v>
      </c>
      <c r="H225" s="12">
        <v>2</v>
      </c>
      <c r="I225" s="14">
        <v>299.99</v>
      </c>
      <c r="J225" s="12" t="s">
        <v>34</v>
      </c>
      <c r="K225" s="12" t="s">
        <v>35</v>
      </c>
      <c r="L225" s="12" t="s">
        <v>22</v>
      </c>
      <c r="M225" s="13">
        <v>44576</v>
      </c>
      <c r="N225" s="1">
        <v>599.98</v>
      </c>
      <c r="O225" s="12" t="str">
        <f>TEXT(B225,"mmm-yyyy")</f>
        <v>Feb-2025</v>
      </c>
      <c r="P225" s="13">
        <f>EOMONTH(B225,0)</f>
        <v>45716</v>
      </c>
      <c r="Q225" s="12">
        <f ca="1">DATEDIF(M225,TODAY(),"y")</f>
        <v>4</v>
      </c>
      <c r="R225" s="15">
        <f ca="1">NOW()</f>
        <v>46282.345924652778</v>
      </c>
      <c r="S225" s="12" t="str">
        <f>UPPER(LEFT(D225,1)&amp;LEFT(RIGHT(D225,LEN(D225)-FIND(" ",D225)),1))</f>
        <v>VS</v>
      </c>
    </row>
    <row r="226" spans="1:19">
      <c r="A226" s="12" t="s">
        <v>371</v>
      </c>
      <c r="B226" s="13">
        <v>45718</v>
      </c>
      <c r="C226" s="12" t="s">
        <v>55</v>
      </c>
      <c r="D226" s="12" t="s">
        <v>56</v>
      </c>
      <c r="E226" s="12" t="s">
        <v>44</v>
      </c>
      <c r="F226" s="12" t="s">
        <v>45</v>
      </c>
      <c r="G226" s="12" t="s">
        <v>46</v>
      </c>
      <c r="H226" s="12">
        <v>2</v>
      </c>
      <c r="I226" s="14">
        <v>149.99</v>
      </c>
      <c r="J226" s="12" t="s">
        <v>20</v>
      </c>
      <c r="K226" s="12" t="s">
        <v>21</v>
      </c>
      <c r="L226" s="12" t="s">
        <v>22</v>
      </c>
      <c r="M226" s="13">
        <v>45068</v>
      </c>
      <c r="N226" s="1">
        <v>299.98</v>
      </c>
      <c r="O226" s="12" t="str">
        <f>TEXT(B226,"mmm-yyyy")</f>
        <v>Mar-2025</v>
      </c>
      <c r="P226" s="13">
        <f>EOMONTH(B226,0)</f>
        <v>45747</v>
      </c>
      <c r="Q226" s="12">
        <f ca="1">DATEDIF(M226,TODAY(),"y")</f>
        <v>3</v>
      </c>
      <c r="R226" s="15">
        <f ca="1">NOW()</f>
        <v>46282.345924652778</v>
      </c>
      <c r="S226" s="12" t="str">
        <f>UPPER(LEFT(D226,1)&amp;LEFT(RIGHT(D226,LEN(D226)-FIND(" ",D226)),1))</f>
        <v>CA</v>
      </c>
    </row>
    <row r="227" spans="1:19">
      <c r="A227" s="12" t="s">
        <v>372</v>
      </c>
      <c r="B227" s="13">
        <v>45720</v>
      </c>
      <c r="C227" s="12" t="s">
        <v>226</v>
      </c>
      <c r="D227" s="12" t="s">
        <v>227</v>
      </c>
      <c r="E227" s="12" t="s">
        <v>80</v>
      </c>
      <c r="F227" s="12" t="s">
        <v>81</v>
      </c>
      <c r="G227" s="12" t="s">
        <v>19</v>
      </c>
      <c r="H227" s="12">
        <v>5</v>
      </c>
      <c r="I227" s="14">
        <v>699.99</v>
      </c>
      <c r="J227" s="12" t="s">
        <v>57</v>
      </c>
      <c r="K227" s="12" t="s">
        <v>63</v>
      </c>
      <c r="L227" s="12" t="s">
        <v>27</v>
      </c>
      <c r="M227" s="13">
        <v>45161</v>
      </c>
      <c r="N227" s="1">
        <v>3499.95</v>
      </c>
      <c r="O227" s="12" t="str">
        <f>TEXT(B227,"mmm-yyyy")</f>
        <v>Mar-2025</v>
      </c>
      <c r="P227" s="13">
        <f>EOMONTH(B227,0)</f>
        <v>45747</v>
      </c>
      <c r="Q227" s="12">
        <f ca="1">DATEDIF(M227,TODAY(),"y")</f>
        <v>3</v>
      </c>
      <c r="R227" s="15">
        <f ca="1">NOW()</f>
        <v>46282.345924652778</v>
      </c>
      <c r="S227" s="12" t="str">
        <f>UPPER(LEFT(D227,1)&amp;LEFT(RIGHT(D227,LEN(D227)-FIND(" ",D227)),1))</f>
        <v>LR</v>
      </c>
    </row>
    <row r="228" spans="1:19">
      <c r="A228" s="12" t="s">
        <v>373</v>
      </c>
      <c r="B228" s="13">
        <v>45721</v>
      </c>
      <c r="C228" s="12" t="s">
        <v>75</v>
      </c>
      <c r="D228" s="12" t="s">
        <v>76</v>
      </c>
      <c r="E228" s="12" t="s">
        <v>31</v>
      </c>
      <c r="F228" s="12" t="s">
        <v>32</v>
      </c>
      <c r="G228" s="12" t="s">
        <v>33</v>
      </c>
      <c r="H228" s="12">
        <v>5</v>
      </c>
      <c r="I228" s="14">
        <v>59.99</v>
      </c>
      <c r="J228" s="12" t="s">
        <v>20</v>
      </c>
      <c r="K228" s="12" t="s">
        <v>50</v>
      </c>
      <c r="L228" s="12" t="s">
        <v>27</v>
      </c>
      <c r="M228" s="13">
        <v>45291</v>
      </c>
      <c r="N228" s="1">
        <v>299.95</v>
      </c>
      <c r="O228" s="12" t="str">
        <f>TEXT(B228,"mmm-yyyy")</f>
        <v>Mar-2025</v>
      </c>
      <c r="P228" s="13">
        <f>EOMONTH(B228,0)</f>
        <v>45747</v>
      </c>
      <c r="Q228" s="12">
        <f ca="1">DATEDIF(M228,TODAY(),"y")</f>
        <v>2</v>
      </c>
      <c r="R228" s="15">
        <f ca="1">NOW()</f>
        <v>46282.345924652778</v>
      </c>
      <c r="S228" s="12" t="str">
        <f>UPPER(LEFT(D228,1)&amp;LEFT(RIGHT(D228,LEN(D228)-FIND(" ",D228)),1))</f>
        <v>DG</v>
      </c>
    </row>
    <row r="229" spans="1:19">
      <c r="A229" s="12" t="s">
        <v>374</v>
      </c>
      <c r="B229" s="13">
        <v>45723</v>
      </c>
      <c r="C229" s="12" t="s">
        <v>15</v>
      </c>
      <c r="D229" s="12" t="s">
        <v>16</v>
      </c>
      <c r="E229" s="12" t="s">
        <v>117</v>
      </c>
      <c r="F229" s="12" t="s">
        <v>118</v>
      </c>
      <c r="G229" s="12" t="s">
        <v>19</v>
      </c>
      <c r="H229" s="12">
        <v>2</v>
      </c>
      <c r="I229" s="14">
        <v>89.99</v>
      </c>
      <c r="J229" s="12" t="s">
        <v>26</v>
      </c>
      <c r="K229" s="12" t="s">
        <v>50</v>
      </c>
      <c r="L229" s="12" t="s">
        <v>27</v>
      </c>
      <c r="M229" s="13">
        <v>45295</v>
      </c>
      <c r="N229" s="1">
        <v>179.98</v>
      </c>
      <c r="O229" s="12" t="str">
        <f>TEXT(B229,"mmm-yyyy")</f>
        <v>Mar-2025</v>
      </c>
      <c r="P229" s="13">
        <f>EOMONTH(B229,0)</f>
        <v>45747</v>
      </c>
      <c r="Q229" s="12">
        <f ca="1">DATEDIF(M229,TODAY(),"y")</f>
        <v>2</v>
      </c>
      <c r="R229" s="15">
        <f ca="1">NOW()</f>
        <v>46282.345924652778</v>
      </c>
      <c r="S229" s="12" t="str">
        <f>UPPER(LEFT(D229,1)&amp;LEFT(RIGHT(D229,LEN(D229)-FIND(" ",D229)),1))</f>
        <v>PB</v>
      </c>
    </row>
    <row r="230" spans="1:19">
      <c r="A230" s="12" t="s">
        <v>375</v>
      </c>
      <c r="B230" s="13">
        <v>45723</v>
      </c>
      <c r="C230" s="12" t="s">
        <v>120</v>
      </c>
      <c r="D230" s="12" t="s">
        <v>121</v>
      </c>
      <c r="E230" s="12" t="s">
        <v>17</v>
      </c>
      <c r="F230" s="12" t="s">
        <v>18</v>
      </c>
      <c r="G230" s="12" t="s">
        <v>19</v>
      </c>
      <c r="H230" s="12">
        <v>5</v>
      </c>
      <c r="I230" s="14">
        <v>249.99</v>
      </c>
      <c r="J230" s="12" t="s">
        <v>20</v>
      </c>
      <c r="K230" s="12" t="s">
        <v>63</v>
      </c>
      <c r="L230" s="12" t="s">
        <v>36</v>
      </c>
      <c r="M230" s="13">
        <v>44540</v>
      </c>
      <c r="N230" s="1">
        <v>1249.95</v>
      </c>
      <c r="O230" s="12" t="str">
        <f>TEXT(B230,"mmm-yyyy")</f>
        <v>Mar-2025</v>
      </c>
      <c r="P230" s="13">
        <f>EOMONTH(B230,0)</f>
        <v>45747</v>
      </c>
      <c r="Q230" s="12">
        <f ca="1">DATEDIF(M230,TODAY(),"y")</f>
        <v>4</v>
      </c>
      <c r="R230" s="15">
        <f ca="1">NOW()</f>
        <v>46282.345924652778</v>
      </c>
      <c r="S230" s="12" t="str">
        <f>UPPER(LEFT(D230,1)&amp;LEFT(RIGHT(D230,LEN(D230)-FIND(" ",D230)),1))</f>
        <v>HR</v>
      </c>
    </row>
    <row r="231" spans="1:19">
      <c r="A231" s="12" t="s">
        <v>376</v>
      </c>
      <c r="B231" s="13">
        <v>45724</v>
      </c>
      <c r="C231" s="12" t="s">
        <v>226</v>
      </c>
      <c r="D231" s="12" t="s">
        <v>227</v>
      </c>
      <c r="E231" s="12" t="s">
        <v>44</v>
      </c>
      <c r="F231" s="12" t="s">
        <v>45</v>
      </c>
      <c r="G231" s="12" t="s">
        <v>46</v>
      </c>
      <c r="H231" s="12">
        <v>2</v>
      </c>
      <c r="I231" s="14">
        <v>149.99</v>
      </c>
      <c r="J231" s="12" t="s">
        <v>34</v>
      </c>
      <c r="K231" s="12" t="s">
        <v>21</v>
      </c>
      <c r="L231" s="12" t="s">
        <v>27</v>
      </c>
      <c r="M231" s="13">
        <v>44632</v>
      </c>
      <c r="N231" s="1">
        <v>299.98</v>
      </c>
      <c r="O231" s="12" t="str">
        <f>TEXT(B231,"mmm-yyyy")</f>
        <v>Mar-2025</v>
      </c>
      <c r="P231" s="13">
        <f>EOMONTH(B231,0)</f>
        <v>45747</v>
      </c>
      <c r="Q231" s="12">
        <f ca="1">DATEDIF(M231,TODAY(),"y")</f>
        <v>4</v>
      </c>
      <c r="R231" s="15">
        <f ca="1">NOW()</f>
        <v>46282.345924652778</v>
      </c>
      <c r="S231" s="12" t="str">
        <f>UPPER(LEFT(D231,1)&amp;LEFT(RIGHT(D231,LEN(D231)-FIND(" ",D231)),1))</f>
        <v>LR</v>
      </c>
    </row>
    <row r="232" spans="1:19">
      <c r="A232" s="12" t="s">
        <v>377</v>
      </c>
      <c r="B232" s="13">
        <v>45724</v>
      </c>
      <c r="C232" s="12" t="s">
        <v>144</v>
      </c>
      <c r="D232" s="12" t="s">
        <v>145</v>
      </c>
      <c r="E232" s="12" t="s">
        <v>61</v>
      </c>
      <c r="F232" s="12" t="s">
        <v>62</v>
      </c>
      <c r="G232" s="12" t="s">
        <v>19</v>
      </c>
      <c r="H232" s="12">
        <v>5</v>
      </c>
      <c r="I232" s="14">
        <v>899.99</v>
      </c>
      <c r="J232" s="12" t="s">
        <v>34</v>
      </c>
      <c r="K232" s="12" t="s">
        <v>63</v>
      </c>
      <c r="L232" s="12" t="s">
        <v>27</v>
      </c>
      <c r="M232" s="13">
        <v>45389</v>
      </c>
      <c r="N232" s="1">
        <v>4499.95</v>
      </c>
      <c r="O232" s="12" t="str">
        <f>TEXT(B232,"mmm-yyyy")</f>
        <v>Mar-2025</v>
      </c>
      <c r="P232" s="13">
        <f>EOMONTH(B232,0)</f>
        <v>45747</v>
      </c>
      <c r="Q232" s="12">
        <f ca="1">DATEDIF(M232,TODAY(),"y")</f>
        <v>2</v>
      </c>
      <c r="R232" s="15">
        <f ca="1">NOW()</f>
        <v>46282.345924652778</v>
      </c>
      <c r="S232" s="12" t="str">
        <f>UPPER(LEFT(D232,1)&amp;LEFT(RIGHT(D232,LEN(D232)-FIND(" ",D232)),1))</f>
        <v>HM</v>
      </c>
    </row>
    <row r="233" spans="1:19">
      <c r="A233" s="12" t="s">
        <v>378</v>
      </c>
      <c r="B233" s="13">
        <v>45724</v>
      </c>
      <c r="C233" s="12" t="s">
        <v>55</v>
      </c>
      <c r="D233" s="12" t="s">
        <v>56</v>
      </c>
      <c r="E233" s="12" t="s">
        <v>44</v>
      </c>
      <c r="F233" s="12" t="s">
        <v>45</v>
      </c>
      <c r="G233" s="12" t="s">
        <v>46</v>
      </c>
      <c r="H233" s="12">
        <v>4</v>
      </c>
      <c r="I233" s="14">
        <v>149.99</v>
      </c>
      <c r="J233" s="12" t="s">
        <v>20</v>
      </c>
      <c r="K233" s="12" t="s">
        <v>21</v>
      </c>
      <c r="L233" s="12" t="s">
        <v>36</v>
      </c>
      <c r="M233" s="13">
        <v>45263</v>
      </c>
      <c r="N233" s="1">
        <v>599.96</v>
      </c>
      <c r="O233" s="12" t="str">
        <f>TEXT(B233,"mmm-yyyy")</f>
        <v>Mar-2025</v>
      </c>
      <c r="P233" s="13">
        <f>EOMONTH(B233,0)</f>
        <v>45747</v>
      </c>
      <c r="Q233" s="12">
        <f ca="1">DATEDIF(M233,TODAY(),"y")</f>
        <v>2</v>
      </c>
      <c r="R233" s="15">
        <f ca="1">NOW()</f>
        <v>46282.345924652778</v>
      </c>
      <c r="S233" s="12" t="str">
        <f>UPPER(LEFT(D233,1)&amp;LEFT(RIGHT(D233,LEN(D233)-FIND(" ",D233)),1))</f>
        <v>CA</v>
      </c>
    </row>
    <row r="234" spans="1:19">
      <c r="A234" s="12" t="s">
        <v>379</v>
      </c>
      <c r="B234" s="13">
        <v>45726</v>
      </c>
      <c r="C234" s="12" t="s">
        <v>144</v>
      </c>
      <c r="D234" s="12" t="s">
        <v>145</v>
      </c>
      <c r="E234" s="12" t="s">
        <v>17</v>
      </c>
      <c r="F234" s="12" t="s">
        <v>18</v>
      </c>
      <c r="G234" s="12" t="s">
        <v>19</v>
      </c>
      <c r="H234" s="12">
        <v>1</v>
      </c>
      <c r="I234" s="14">
        <v>249.99</v>
      </c>
      <c r="J234" s="12" t="s">
        <v>20</v>
      </c>
      <c r="K234" s="12" t="s">
        <v>40</v>
      </c>
      <c r="L234" s="12" t="s">
        <v>36</v>
      </c>
      <c r="M234" s="13">
        <v>45117</v>
      </c>
      <c r="N234" s="1">
        <v>249.99</v>
      </c>
      <c r="O234" s="12" t="str">
        <f>TEXT(B234,"mmm-yyyy")</f>
        <v>Mar-2025</v>
      </c>
      <c r="P234" s="13">
        <f>EOMONTH(B234,0)</f>
        <v>45747</v>
      </c>
      <c r="Q234" s="12">
        <f ca="1">DATEDIF(M234,TODAY(),"y")</f>
        <v>3</v>
      </c>
      <c r="R234" s="15">
        <f ca="1">NOW()</f>
        <v>46282.345924652778</v>
      </c>
      <c r="S234" s="12" t="str">
        <f>UPPER(LEFT(D234,1)&amp;LEFT(RIGHT(D234,LEN(D234)-FIND(" ",D234)),1))</f>
        <v>HM</v>
      </c>
    </row>
    <row r="235" spans="1:19">
      <c r="A235" s="12" t="s">
        <v>380</v>
      </c>
      <c r="B235" s="13">
        <v>45734</v>
      </c>
      <c r="C235" s="12" t="s">
        <v>192</v>
      </c>
      <c r="D235" s="12" t="s">
        <v>193</v>
      </c>
      <c r="E235" s="12" t="s">
        <v>31</v>
      </c>
      <c r="F235" s="12" t="s">
        <v>32</v>
      </c>
      <c r="G235" s="12" t="s">
        <v>33</v>
      </c>
      <c r="H235" s="12">
        <v>2</v>
      </c>
      <c r="I235" s="14">
        <v>59.99</v>
      </c>
      <c r="J235" s="12" t="s">
        <v>26</v>
      </c>
      <c r="K235" s="12" t="s">
        <v>50</v>
      </c>
      <c r="L235" s="12" t="s">
        <v>22</v>
      </c>
      <c r="M235" s="13">
        <v>45193</v>
      </c>
      <c r="N235" s="1">
        <v>119.98</v>
      </c>
      <c r="O235" s="12" t="str">
        <f>TEXT(B235,"mmm-yyyy")</f>
        <v>Mar-2025</v>
      </c>
      <c r="P235" s="13">
        <f>EOMONTH(B235,0)</f>
        <v>45747</v>
      </c>
      <c r="Q235" s="12">
        <f ca="1">DATEDIF(M235,TODAY(),"y")</f>
        <v>2</v>
      </c>
      <c r="R235" s="15">
        <f ca="1">NOW()</f>
        <v>46282.345924652778</v>
      </c>
      <c r="S235" s="12" t="str">
        <f>UPPER(LEFT(D235,1)&amp;LEFT(RIGHT(D235,LEN(D235)-FIND(" ",D235)),1))</f>
        <v>FT</v>
      </c>
    </row>
    <row r="236" spans="1:19">
      <c r="A236" s="12" t="s">
        <v>381</v>
      </c>
      <c r="B236" s="13">
        <v>45737</v>
      </c>
      <c r="C236" s="12" t="s">
        <v>132</v>
      </c>
      <c r="D236" s="12" t="s">
        <v>133</v>
      </c>
      <c r="E236" s="12" t="s">
        <v>44</v>
      </c>
      <c r="F236" s="12" t="s">
        <v>45</v>
      </c>
      <c r="G236" s="12" t="s">
        <v>46</v>
      </c>
      <c r="H236" s="12">
        <v>2</v>
      </c>
      <c r="I236" s="14">
        <v>149.99</v>
      </c>
      <c r="J236" s="12" t="s">
        <v>20</v>
      </c>
      <c r="K236" s="12" t="s">
        <v>50</v>
      </c>
      <c r="L236" s="12" t="s">
        <v>27</v>
      </c>
      <c r="M236" s="13">
        <v>45233</v>
      </c>
      <c r="N236" s="1">
        <v>299.98</v>
      </c>
      <c r="O236" s="12" t="str">
        <f>TEXT(B236,"mmm-yyyy")</f>
        <v>Mar-2025</v>
      </c>
      <c r="P236" s="13">
        <f>EOMONTH(B236,0)</f>
        <v>45747</v>
      </c>
      <c r="Q236" s="12">
        <f ca="1">DATEDIF(M236,TODAY(),"y")</f>
        <v>2</v>
      </c>
      <c r="R236" s="15">
        <f ca="1">NOW()</f>
        <v>46282.345924652778</v>
      </c>
      <c r="S236" s="12" t="str">
        <f>UPPER(LEFT(D236,1)&amp;LEFT(RIGHT(D236,LEN(D236)-FIND(" ",D236)),1))</f>
        <v>EW</v>
      </c>
    </row>
    <row r="237" spans="1:19">
      <c r="A237" s="12" t="s">
        <v>382</v>
      </c>
      <c r="B237" s="13">
        <v>45737</v>
      </c>
      <c r="C237" s="12" t="s">
        <v>150</v>
      </c>
      <c r="D237" s="12" t="s">
        <v>151</v>
      </c>
      <c r="E237" s="12" t="s">
        <v>61</v>
      </c>
      <c r="F237" s="12" t="s">
        <v>62</v>
      </c>
      <c r="G237" s="12" t="s">
        <v>19</v>
      </c>
      <c r="H237" s="12">
        <v>3</v>
      </c>
      <c r="I237" s="14">
        <v>899.99</v>
      </c>
      <c r="J237" s="12" t="s">
        <v>57</v>
      </c>
      <c r="K237" s="12" t="s">
        <v>40</v>
      </c>
      <c r="L237" s="12" t="s">
        <v>27</v>
      </c>
      <c r="M237" s="13">
        <v>44876</v>
      </c>
      <c r="N237" s="1">
        <v>2699.97</v>
      </c>
      <c r="O237" s="12" t="str">
        <f>TEXT(B237,"mmm-yyyy")</f>
        <v>Mar-2025</v>
      </c>
      <c r="P237" s="13">
        <f>EOMONTH(B237,0)</f>
        <v>45747</v>
      </c>
      <c r="Q237" s="12">
        <f ca="1">DATEDIF(M237,TODAY(),"y")</f>
        <v>3</v>
      </c>
      <c r="R237" s="15">
        <f ca="1">NOW()</f>
        <v>46282.345924652778</v>
      </c>
      <c r="S237" s="12" t="str">
        <f>UPPER(LEFT(D237,1)&amp;LEFT(RIGHT(D237,LEN(D237)-FIND(" ",D237)),1))</f>
        <v>SB</v>
      </c>
    </row>
    <row r="238" spans="1:19">
      <c r="A238" s="12" t="s">
        <v>383</v>
      </c>
      <c r="B238" s="13">
        <v>45737</v>
      </c>
      <c r="C238" s="12" t="s">
        <v>48</v>
      </c>
      <c r="D238" s="12" t="s">
        <v>49</v>
      </c>
      <c r="E238" s="12" t="s">
        <v>61</v>
      </c>
      <c r="F238" s="12" t="s">
        <v>62</v>
      </c>
      <c r="G238" s="12" t="s">
        <v>19</v>
      </c>
      <c r="H238" s="12">
        <v>3</v>
      </c>
      <c r="I238" s="14">
        <v>899.99</v>
      </c>
      <c r="J238" s="12" t="s">
        <v>34</v>
      </c>
      <c r="K238" s="12" t="s">
        <v>40</v>
      </c>
      <c r="L238" s="12" t="s">
        <v>22</v>
      </c>
      <c r="M238" s="13">
        <v>44975</v>
      </c>
      <c r="N238" s="1">
        <v>2699.97</v>
      </c>
      <c r="O238" s="12" t="str">
        <f>TEXT(B238,"mmm-yyyy")</f>
        <v>Mar-2025</v>
      </c>
      <c r="P238" s="13">
        <f>EOMONTH(B238,0)</f>
        <v>45747</v>
      </c>
      <c r="Q238" s="12">
        <f ca="1">DATEDIF(M238,TODAY(),"y")</f>
        <v>3</v>
      </c>
      <c r="R238" s="15">
        <f ca="1">NOW()</f>
        <v>46282.345924652778</v>
      </c>
      <c r="S238" s="12" t="str">
        <f>UPPER(LEFT(D238,1)&amp;LEFT(RIGHT(D238,LEN(D238)-FIND(" ",D238)),1))</f>
        <v>DN</v>
      </c>
    </row>
    <row r="239" spans="1:19">
      <c r="A239" s="12" t="s">
        <v>384</v>
      </c>
      <c r="B239" s="13">
        <v>45739</v>
      </c>
      <c r="C239" s="12" t="s">
        <v>15</v>
      </c>
      <c r="D239" s="12" t="s">
        <v>16</v>
      </c>
      <c r="E239" s="12" t="s">
        <v>105</v>
      </c>
      <c r="F239" s="12" t="s">
        <v>106</v>
      </c>
      <c r="G239" s="12" t="s">
        <v>46</v>
      </c>
      <c r="H239" s="12">
        <v>3</v>
      </c>
      <c r="I239" s="14">
        <v>299.99</v>
      </c>
      <c r="J239" s="12" t="s">
        <v>26</v>
      </c>
      <c r="K239" s="12" t="s">
        <v>50</v>
      </c>
      <c r="L239" s="12" t="s">
        <v>27</v>
      </c>
      <c r="M239" s="13">
        <v>45234</v>
      </c>
      <c r="N239" s="1">
        <v>899.97</v>
      </c>
      <c r="O239" s="12" t="str">
        <f>TEXT(B239,"mmm-yyyy")</f>
        <v>Mar-2025</v>
      </c>
      <c r="P239" s="13">
        <f>EOMONTH(B239,0)</f>
        <v>45747</v>
      </c>
      <c r="Q239" s="12">
        <f ca="1">DATEDIF(M239,TODAY(),"y")</f>
        <v>2</v>
      </c>
      <c r="R239" s="15">
        <f ca="1">NOW()</f>
        <v>46282.345924652778</v>
      </c>
      <c r="S239" s="12" t="str">
        <f>UPPER(LEFT(D239,1)&amp;LEFT(RIGHT(D239,LEN(D239)-FIND(" ",D239)),1))</f>
        <v>PB</v>
      </c>
    </row>
    <row r="240" spans="1:19">
      <c r="A240" s="12" t="s">
        <v>385</v>
      </c>
      <c r="B240" s="13">
        <v>45740</v>
      </c>
      <c r="C240" s="12" t="s">
        <v>386</v>
      </c>
      <c r="D240" s="12" t="s">
        <v>387</v>
      </c>
      <c r="E240" s="12" t="s">
        <v>44</v>
      </c>
      <c r="F240" s="12" t="s">
        <v>45</v>
      </c>
      <c r="G240" s="12" t="s">
        <v>46</v>
      </c>
      <c r="H240" s="12">
        <v>4</v>
      </c>
      <c r="I240" s="14">
        <v>149.99</v>
      </c>
      <c r="J240" s="12" t="s">
        <v>34</v>
      </c>
      <c r="K240" s="12" t="s">
        <v>50</v>
      </c>
      <c r="L240" s="12" t="s">
        <v>36</v>
      </c>
      <c r="M240" s="13">
        <v>44560</v>
      </c>
      <c r="N240" s="1">
        <v>599.96</v>
      </c>
      <c r="O240" s="12" t="str">
        <f>TEXT(B240,"mmm-yyyy")</f>
        <v>Mar-2025</v>
      </c>
      <c r="P240" s="13">
        <f>EOMONTH(B240,0)</f>
        <v>45747</v>
      </c>
      <c r="Q240" s="12">
        <f ca="1">DATEDIF(M240,TODAY(),"y")</f>
        <v>4</v>
      </c>
      <c r="R240" s="15">
        <f ca="1">NOW()</f>
        <v>46282.345924652778</v>
      </c>
      <c r="S240" s="12" t="str">
        <f>UPPER(LEFT(D240,1)&amp;LEFT(RIGHT(D240,LEN(D240)-FIND(" ",D240)),1))</f>
        <v>JS</v>
      </c>
    </row>
    <row r="241" spans="1:19">
      <c r="A241" s="12" t="s">
        <v>388</v>
      </c>
      <c r="B241" s="13">
        <v>45743</v>
      </c>
      <c r="C241" s="12" t="s">
        <v>102</v>
      </c>
      <c r="D241" s="12" t="s">
        <v>103</v>
      </c>
      <c r="E241" s="12" t="s">
        <v>114</v>
      </c>
      <c r="F241" s="12" t="s">
        <v>115</v>
      </c>
      <c r="G241" s="12" t="s">
        <v>33</v>
      </c>
      <c r="H241" s="12">
        <v>4</v>
      </c>
      <c r="I241" s="14">
        <v>79.989999999999995</v>
      </c>
      <c r="J241" s="12" t="s">
        <v>26</v>
      </c>
      <c r="K241" s="12" t="s">
        <v>21</v>
      </c>
      <c r="L241" s="12" t="s">
        <v>22</v>
      </c>
      <c r="M241" s="13">
        <v>45288</v>
      </c>
      <c r="N241" s="1">
        <v>319.95999999999998</v>
      </c>
      <c r="O241" s="12" t="str">
        <f>TEXT(B241,"mmm-yyyy")</f>
        <v>Mar-2025</v>
      </c>
      <c r="P241" s="13">
        <f>EOMONTH(B241,0)</f>
        <v>45747</v>
      </c>
      <c r="Q241" s="12">
        <f ca="1">DATEDIF(M241,TODAY(),"y")</f>
        <v>2</v>
      </c>
      <c r="R241" s="15">
        <f ca="1">NOW()</f>
        <v>46282.345924652778</v>
      </c>
      <c r="S241" s="12" t="str">
        <f>UPPER(LEFT(D241,1)&amp;LEFT(RIGHT(D241,LEN(D241)-FIND(" ",D241)),1))</f>
        <v>CP</v>
      </c>
    </row>
    <row r="242" spans="1:19">
      <c r="A242" s="12" t="s">
        <v>389</v>
      </c>
      <c r="B242" s="13">
        <v>45745</v>
      </c>
      <c r="C242" s="12" t="s">
        <v>185</v>
      </c>
      <c r="D242" s="12" t="s">
        <v>186</v>
      </c>
      <c r="E242" s="12" t="s">
        <v>117</v>
      </c>
      <c r="F242" s="12" t="s">
        <v>118</v>
      </c>
      <c r="G242" s="12" t="s">
        <v>19</v>
      </c>
      <c r="H242" s="12">
        <v>5</v>
      </c>
      <c r="I242" s="14">
        <v>89.99</v>
      </c>
      <c r="J242" s="12" t="s">
        <v>34</v>
      </c>
      <c r="K242" s="12" t="s">
        <v>35</v>
      </c>
      <c r="L242" s="12" t="s">
        <v>22</v>
      </c>
      <c r="M242" s="13">
        <v>44704</v>
      </c>
      <c r="N242" s="1">
        <v>449.95</v>
      </c>
      <c r="O242" s="12" t="str">
        <f>TEXT(B242,"mmm-yyyy")</f>
        <v>Mar-2025</v>
      </c>
      <c r="P242" s="13">
        <f>EOMONTH(B242,0)</f>
        <v>45747</v>
      </c>
      <c r="Q242" s="12">
        <f ca="1">DATEDIF(M242,TODAY(),"y")</f>
        <v>4</v>
      </c>
      <c r="R242" s="15">
        <f ca="1">NOW()</f>
        <v>46282.345924652778</v>
      </c>
      <c r="S242" s="12" t="str">
        <f>UPPER(LEFT(D242,1)&amp;LEFT(RIGHT(D242,LEN(D242)-FIND(" ",D242)),1))</f>
        <v>MW</v>
      </c>
    </row>
    <row r="243" spans="1:19">
      <c r="A243" s="12" t="s">
        <v>390</v>
      </c>
      <c r="B243" s="13">
        <v>45746</v>
      </c>
      <c r="C243" s="12" t="s">
        <v>93</v>
      </c>
      <c r="D243" s="12" t="s">
        <v>94</v>
      </c>
      <c r="E243" s="12" t="s">
        <v>44</v>
      </c>
      <c r="F243" s="12" t="s">
        <v>45</v>
      </c>
      <c r="G243" s="12" t="s">
        <v>46</v>
      </c>
      <c r="H243" s="12">
        <v>3</v>
      </c>
      <c r="I243" s="14">
        <v>149.99</v>
      </c>
      <c r="J243" s="12" t="s">
        <v>34</v>
      </c>
      <c r="K243" s="12" t="s">
        <v>21</v>
      </c>
      <c r="L243" s="12" t="s">
        <v>36</v>
      </c>
      <c r="M243" s="13">
        <v>45171</v>
      </c>
      <c r="N243" s="1">
        <v>449.97</v>
      </c>
      <c r="O243" s="12" t="str">
        <f>TEXT(B243,"mmm-yyyy")</f>
        <v>Mar-2025</v>
      </c>
      <c r="P243" s="13">
        <f>EOMONTH(B243,0)</f>
        <v>45747</v>
      </c>
      <c r="Q243" s="12">
        <f ca="1">DATEDIF(M243,TODAY(),"y")</f>
        <v>3</v>
      </c>
      <c r="R243" s="15">
        <f ca="1">NOW()</f>
        <v>46282.345924652778</v>
      </c>
      <c r="S243" s="12" t="str">
        <f>UPPER(LEFT(D243,1)&amp;LEFT(RIGHT(D243,LEN(D243)-FIND(" ",D243)),1))</f>
        <v>VS</v>
      </c>
    </row>
    <row r="244" spans="1:19">
      <c r="A244" s="12" t="s">
        <v>391</v>
      </c>
      <c r="B244" s="13">
        <v>45746</v>
      </c>
      <c r="C244" s="12" t="s">
        <v>65</v>
      </c>
      <c r="D244" s="12" t="s">
        <v>66</v>
      </c>
      <c r="E244" s="12" t="s">
        <v>117</v>
      </c>
      <c r="F244" s="12" t="s">
        <v>118</v>
      </c>
      <c r="G244" s="12" t="s">
        <v>19</v>
      </c>
      <c r="H244" s="12">
        <v>2</v>
      </c>
      <c r="I244" s="14">
        <v>89.99</v>
      </c>
      <c r="J244" s="12" t="s">
        <v>57</v>
      </c>
      <c r="K244" s="12" t="s">
        <v>50</v>
      </c>
      <c r="L244" s="12" t="s">
        <v>27</v>
      </c>
      <c r="M244" s="13">
        <v>44522</v>
      </c>
      <c r="N244" s="1">
        <v>179.98</v>
      </c>
      <c r="O244" s="12" t="str">
        <f>TEXT(B244,"mmm-yyyy")</f>
        <v>Mar-2025</v>
      </c>
      <c r="P244" s="13">
        <f>EOMONTH(B244,0)</f>
        <v>45747</v>
      </c>
      <c r="Q244" s="12">
        <f ca="1">DATEDIF(M244,TODAY(),"y")</f>
        <v>4</v>
      </c>
      <c r="R244" s="15">
        <f ca="1">NOW()</f>
        <v>46282.345924652778</v>
      </c>
      <c r="S244" s="12" t="str">
        <f>UPPER(LEFT(D244,1)&amp;LEFT(RIGHT(D244,LEN(D244)-FIND(" ",D244)),1))</f>
        <v>KH</v>
      </c>
    </row>
    <row r="245" spans="1:19">
      <c r="A245" s="12" t="s">
        <v>392</v>
      </c>
      <c r="B245" s="13">
        <v>45748</v>
      </c>
      <c r="C245" s="12" t="s">
        <v>102</v>
      </c>
      <c r="D245" s="12" t="s">
        <v>103</v>
      </c>
      <c r="E245" s="12" t="s">
        <v>80</v>
      </c>
      <c r="F245" s="12" t="s">
        <v>81</v>
      </c>
      <c r="G245" s="12" t="s">
        <v>19</v>
      </c>
      <c r="H245" s="12">
        <v>2</v>
      </c>
      <c r="I245" s="14">
        <v>699.99</v>
      </c>
      <c r="J245" s="12" t="s">
        <v>34</v>
      </c>
      <c r="K245" s="12" t="s">
        <v>40</v>
      </c>
      <c r="L245" s="12" t="s">
        <v>36</v>
      </c>
      <c r="M245" s="13">
        <v>44618</v>
      </c>
      <c r="N245" s="1">
        <v>1399.98</v>
      </c>
      <c r="O245" s="12" t="str">
        <f>TEXT(B245,"mmm-yyyy")</f>
        <v>Apr-2025</v>
      </c>
      <c r="P245" s="13">
        <f>EOMONTH(B245,0)</f>
        <v>45777</v>
      </c>
      <c r="Q245" s="12">
        <f ca="1">DATEDIF(M245,TODAY(),"y")</f>
        <v>4</v>
      </c>
      <c r="R245" s="15">
        <f ca="1">NOW()</f>
        <v>46282.345924652778</v>
      </c>
      <c r="S245" s="12" t="str">
        <f>UPPER(LEFT(D245,1)&amp;LEFT(RIGHT(D245,LEN(D245)-FIND(" ",D245)),1))</f>
        <v>CP</v>
      </c>
    </row>
    <row r="246" spans="1:19">
      <c r="A246" s="12" t="s">
        <v>393</v>
      </c>
      <c r="B246" s="13">
        <v>45749</v>
      </c>
      <c r="C246" s="12" t="s">
        <v>123</v>
      </c>
      <c r="D246" s="12" t="s">
        <v>124</v>
      </c>
      <c r="E246" s="12" t="s">
        <v>61</v>
      </c>
      <c r="F246" s="12" t="s">
        <v>62</v>
      </c>
      <c r="G246" s="12" t="s">
        <v>19</v>
      </c>
      <c r="H246" s="12">
        <v>3</v>
      </c>
      <c r="I246" s="14">
        <v>899.99</v>
      </c>
      <c r="J246" s="12" t="s">
        <v>20</v>
      </c>
      <c r="K246" s="12" t="s">
        <v>21</v>
      </c>
      <c r="L246" s="12" t="s">
        <v>36</v>
      </c>
      <c r="M246" s="13">
        <v>44953</v>
      </c>
      <c r="N246" s="1">
        <v>2699.97</v>
      </c>
      <c r="O246" s="12" t="str">
        <f>TEXT(B246,"mmm-yyyy")</f>
        <v>Apr-2025</v>
      </c>
      <c r="P246" s="13">
        <f>EOMONTH(B246,0)</f>
        <v>45777</v>
      </c>
      <c r="Q246" s="12">
        <f ca="1">DATEDIF(M246,TODAY(),"y")</f>
        <v>3</v>
      </c>
      <c r="R246" s="15">
        <f ca="1">NOW()</f>
        <v>46282.345924652778</v>
      </c>
      <c r="S246" s="12" t="str">
        <f>UPPER(LEFT(D246,1)&amp;LEFT(RIGHT(D246,LEN(D246)-FIND(" ",D246)),1))</f>
        <v>EM</v>
      </c>
    </row>
    <row r="247" spans="1:19">
      <c r="A247" s="12" t="s">
        <v>394</v>
      </c>
      <c r="B247" s="13">
        <v>45755</v>
      </c>
      <c r="C247" s="12" t="s">
        <v>93</v>
      </c>
      <c r="D247" s="12" t="s">
        <v>94</v>
      </c>
      <c r="E247" s="12" t="s">
        <v>114</v>
      </c>
      <c r="F247" s="12" t="s">
        <v>115</v>
      </c>
      <c r="G247" s="12" t="s">
        <v>33</v>
      </c>
      <c r="H247" s="12">
        <v>3</v>
      </c>
      <c r="I247" s="14">
        <v>79.989999999999995</v>
      </c>
      <c r="J247" s="12" t="s">
        <v>26</v>
      </c>
      <c r="K247" s="12" t="s">
        <v>40</v>
      </c>
      <c r="L247" s="12" t="s">
        <v>22</v>
      </c>
      <c r="M247" s="13">
        <v>44511</v>
      </c>
      <c r="N247" s="1">
        <v>239.97</v>
      </c>
      <c r="O247" s="12" t="str">
        <f>TEXT(B247,"mmm-yyyy")</f>
        <v>Apr-2025</v>
      </c>
      <c r="P247" s="13">
        <f>EOMONTH(B247,0)</f>
        <v>45777</v>
      </c>
      <c r="Q247" s="12">
        <f ca="1">DATEDIF(M247,TODAY(),"y")</f>
        <v>4</v>
      </c>
      <c r="R247" s="15">
        <f ca="1">NOW()</f>
        <v>46282.345924652778</v>
      </c>
      <c r="S247" s="12" t="str">
        <f>UPPER(LEFT(D247,1)&amp;LEFT(RIGHT(D247,LEN(D247)-FIND(" ",D247)),1))</f>
        <v>VS</v>
      </c>
    </row>
    <row r="248" spans="1:19">
      <c r="A248" s="12" t="s">
        <v>395</v>
      </c>
      <c r="B248" s="13">
        <v>45756</v>
      </c>
      <c r="C248" s="12" t="s">
        <v>59</v>
      </c>
      <c r="D248" s="12" t="s">
        <v>60</v>
      </c>
      <c r="E248" s="12" t="s">
        <v>117</v>
      </c>
      <c r="F248" s="12" t="s">
        <v>118</v>
      </c>
      <c r="G248" s="12" t="s">
        <v>19</v>
      </c>
      <c r="H248" s="12">
        <v>1</v>
      </c>
      <c r="I248" s="14">
        <v>89.99</v>
      </c>
      <c r="J248" s="12" t="s">
        <v>57</v>
      </c>
      <c r="K248" s="12" t="s">
        <v>63</v>
      </c>
      <c r="L248" s="12" t="s">
        <v>22</v>
      </c>
      <c r="M248" s="13">
        <v>45346</v>
      </c>
      <c r="N248" s="1">
        <v>89.99</v>
      </c>
      <c r="O248" s="12" t="str">
        <f>TEXT(B248,"mmm-yyyy")</f>
        <v>Apr-2025</v>
      </c>
      <c r="P248" s="13">
        <f>EOMONTH(B248,0)</f>
        <v>45777</v>
      </c>
      <c r="Q248" s="12">
        <f ca="1">DATEDIF(M248,TODAY(),"y")</f>
        <v>2</v>
      </c>
      <c r="R248" s="15">
        <f ca="1">NOW()</f>
        <v>46282.345924652778</v>
      </c>
      <c r="S248" s="12" t="str">
        <f>UPPER(LEFT(D248,1)&amp;LEFT(RIGHT(D248,LEN(D248)-FIND(" ",D248)),1))</f>
        <v>RT</v>
      </c>
    </row>
    <row r="249" spans="1:19">
      <c r="A249" s="12" t="s">
        <v>396</v>
      </c>
      <c r="B249" s="13">
        <v>45758</v>
      </c>
      <c r="C249" s="12" t="s">
        <v>293</v>
      </c>
      <c r="D249" s="12" t="s">
        <v>294</v>
      </c>
      <c r="E249" s="12" t="s">
        <v>80</v>
      </c>
      <c r="F249" s="12" t="s">
        <v>81</v>
      </c>
      <c r="G249" s="12" t="s">
        <v>19</v>
      </c>
      <c r="H249" s="12">
        <v>3</v>
      </c>
      <c r="I249" s="14">
        <v>699.99</v>
      </c>
      <c r="J249" s="12" t="s">
        <v>34</v>
      </c>
      <c r="K249" s="12" t="s">
        <v>40</v>
      </c>
      <c r="L249" s="12" t="s">
        <v>22</v>
      </c>
      <c r="M249" s="13">
        <v>44909</v>
      </c>
      <c r="N249" s="1">
        <v>2099.9699999999998</v>
      </c>
      <c r="O249" s="12" t="str">
        <f>TEXT(B249,"mmm-yyyy")</f>
        <v>Apr-2025</v>
      </c>
      <c r="P249" s="13">
        <f>EOMONTH(B249,0)</f>
        <v>45777</v>
      </c>
      <c r="Q249" s="12">
        <f ca="1">DATEDIF(M249,TODAY(),"y")</f>
        <v>3</v>
      </c>
      <c r="R249" s="15">
        <f ca="1">NOW()</f>
        <v>46282.345924652778</v>
      </c>
      <c r="S249" s="12" t="str">
        <f>UPPER(LEFT(D249,1)&amp;LEFT(RIGHT(D249,LEN(D249)-FIND(" ",D249)),1))</f>
        <v>DW</v>
      </c>
    </row>
    <row r="250" spans="1:19">
      <c r="A250" s="12" t="s">
        <v>397</v>
      </c>
      <c r="B250" s="13">
        <v>45758</v>
      </c>
      <c r="C250" s="12" t="s">
        <v>226</v>
      </c>
      <c r="D250" s="12" t="s">
        <v>227</v>
      </c>
      <c r="E250" s="12" t="s">
        <v>117</v>
      </c>
      <c r="F250" s="12" t="s">
        <v>118</v>
      </c>
      <c r="G250" s="12" t="s">
        <v>19</v>
      </c>
      <c r="H250" s="12">
        <v>2</v>
      </c>
      <c r="I250" s="14">
        <v>89.99</v>
      </c>
      <c r="J250" s="12" t="s">
        <v>57</v>
      </c>
      <c r="K250" s="12" t="s">
        <v>63</v>
      </c>
      <c r="L250" s="12" t="s">
        <v>22</v>
      </c>
      <c r="M250" s="13">
        <v>45088</v>
      </c>
      <c r="N250" s="1">
        <v>179.98</v>
      </c>
      <c r="O250" s="12" t="str">
        <f>TEXT(B250,"mmm-yyyy")</f>
        <v>Apr-2025</v>
      </c>
      <c r="P250" s="13">
        <f>EOMONTH(B250,0)</f>
        <v>45777</v>
      </c>
      <c r="Q250" s="12">
        <f ca="1">DATEDIF(M250,TODAY(),"y")</f>
        <v>3</v>
      </c>
      <c r="R250" s="15">
        <f ca="1">NOW()</f>
        <v>46282.345924652778</v>
      </c>
      <c r="S250" s="12" t="str">
        <f>UPPER(LEFT(D250,1)&amp;LEFT(RIGHT(D250,LEN(D250)-FIND(" ",D250)),1))</f>
        <v>LR</v>
      </c>
    </row>
    <row r="251" spans="1:19">
      <c r="A251" s="12" t="s">
        <v>398</v>
      </c>
      <c r="B251" s="13">
        <v>45758</v>
      </c>
      <c r="C251" s="12" t="s">
        <v>138</v>
      </c>
      <c r="D251" s="12" t="s">
        <v>139</v>
      </c>
      <c r="E251" s="12" t="s">
        <v>117</v>
      </c>
      <c r="F251" s="12" t="s">
        <v>118</v>
      </c>
      <c r="G251" s="12" t="s">
        <v>19</v>
      </c>
      <c r="H251" s="12">
        <v>3</v>
      </c>
      <c r="I251" s="14">
        <v>89.99</v>
      </c>
      <c r="J251" s="12" t="s">
        <v>57</v>
      </c>
      <c r="K251" s="12" t="s">
        <v>40</v>
      </c>
      <c r="L251" s="12" t="s">
        <v>27</v>
      </c>
      <c r="M251" s="13">
        <v>44878</v>
      </c>
      <c r="N251" s="1">
        <v>269.97000000000003</v>
      </c>
      <c r="O251" s="12" t="str">
        <f>TEXT(B251,"mmm-yyyy")</f>
        <v>Apr-2025</v>
      </c>
      <c r="P251" s="13">
        <f>EOMONTH(B251,0)</f>
        <v>45777</v>
      </c>
      <c r="Q251" s="12">
        <f ca="1">DATEDIF(M251,TODAY(),"y")</f>
        <v>3</v>
      </c>
      <c r="R251" s="15">
        <f ca="1">NOW()</f>
        <v>46282.345924652778</v>
      </c>
      <c r="S251" s="12" t="str">
        <f>UPPER(LEFT(D251,1)&amp;LEFT(RIGHT(D251,LEN(D251)-FIND(" ",D251)),1))</f>
        <v>ST</v>
      </c>
    </row>
  </sheetData>
  <conditionalFormatting sqref="N2:N25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{0A471424-FAE9-473D-9438-BC6308E28A0D}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471424-FAE9-473D-9438-BC6308E28A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N2:N251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CCC4-C66F-4115-BA23-FE539AEF7BC8}">
  <dimension ref="A1:M53"/>
  <sheetViews>
    <sheetView workbookViewId="0">
      <selection activeCell="M10" sqref="M10"/>
    </sheetView>
  </sheetViews>
  <sheetFormatPr defaultRowHeight="14.4"/>
  <cols>
    <col min="1" max="1" width="13.77734375" style="16" customWidth="1"/>
    <col min="2" max="2" width="17" style="16" customWidth="1"/>
    <col min="3" max="4" width="8.88671875" style="16"/>
    <col min="5" max="5" width="15.21875" style="16" customWidth="1"/>
    <col min="6" max="6" width="8.88671875" style="16"/>
    <col min="7" max="7" width="12.77734375" style="16" customWidth="1"/>
    <col min="8" max="8" width="12.33203125" style="16" customWidth="1"/>
    <col min="9" max="9" width="8.88671875" style="16"/>
    <col min="10" max="10" width="13.77734375" style="16" customWidth="1"/>
    <col min="11" max="11" width="17" style="16" customWidth="1"/>
    <col min="12" max="12" width="19.44140625" style="16" customWidth="1"/>
    <col min="13" max="13" width="15.21875" style="16" customWidth="1"/>
    <col min="14" max="16384" width="8.88671875" style="16"/>
  </cols>
  <sheetData>
    <row r="1" spans="1:13" ht="23.4">
      <c r="A1" s="17" t="s">
        <v>413</v>
      </c>
      <c r="B1" s="17"/>
      <c r="C1" s="17"/>
      <c r="D1" s="17"/>
      <c r="E1" s="17"/>
      <c r="F1" s="17"/>
      <c r="G1" s="17"/>
      <c r="H1" s="17"/>
    </row>
    <row r="3" spans="1:13" ht="15" thickBot="1">
      <c r="A3" s="22" t="s">
        <v>2</v>
      </c>
      <c r="B3" s="22" t="s">
        <v>3</v>
      </c>
      <c r="C3" s="22" t="s">
        <v>414</v>
      </c>
      <c r="D3" s="22" t="s">
        <v>415</v>
      </c>
      <c r="E3" s="22" t="s">
        <v>416</v>
      </c>
      <c r="F3" s="22" t="s">
        <v>417</v>
      </c>
      <c r="G3" s="22" t="s">
        <v>418</v>
      </c>
      <c r="H3" s="22" t="s">
        <v>419</v>
      </c>
      <c r="J3" s="25" t="s">
        <v>417</v>
      </c>
      <c r="K3" s="25" t="s">
        <v>2</v>
      </c>
      <c r="L3" s="25" t="s">
        <v>3</v>
      </c>
      <c r="M3" s="25" t="s">
        <v>416</v>
      </c>
    </row>
    <row r="4" spans="1:13">
      <c r="A4" s="23" t="s">
        <v>386</v>
      </c>
      <c r="B4" s="23" t="s">
        <v>387</v>
      </c>
      <c r="C4" s="23">
        <v>1</v>
      </c>
      <c r="D4" s="23">
        <v>4</v>
      </c>
      <c r="E4" s="24">
        <v>599.96</v>
      </c>
      <c r="F4" s="23">
        <f>RANK(E4,$E$4:$E$53,0)</f>
        <v>47</v>
      </c>
      <c r="G4" s="23" t="str">
        <f>IF(F4&lt;=10,"Top 10","Standard")</f>
        <v>Standard</v>
      </c>
      <c r="H4" s="24">
        <f>IFERROR(E4/C4,0)</f>
        <v>599.96</v>
      </c>
      <c r="J4" s="16">
        <v>1</v>
      </c>
      <c r="K4" s="16" t="str">
        <f>_xlfn.SINGLE(INDEX($A$4:$A$53,MATCH(M4,$E$4:$E$53,0)))</f>
        <v>CUST025</v>
      </c>
      <c r="L4" s="16" t="str">
        <f>_xlfn.SINGLE(INDEX($B$4:$B$53,MATCH(M4,$E$4:$E$53,0)))</f>
        <v>Mark Carter</v>
      </c>
      <c r="M4" s="19">
        <f>LARGE($E$4:$E$53,J4)</f>
        <v>15659.65</v>
      </c>
    </row>
    <row r="5" spans="1:13">
      <c r="A5" s="23" t="s">
        <v>132</v>
      </c>
      <c r="B5" s="23" t="s">
        <v>133</v>
      </c>
      <c r="C5" s="23">
        <v>5</v>
      </c>
      <c r="D5" s="23">
        <v>12</v>
      </c>
      <c r="E5" s="24">
        <v>1229.8800000000001</v>
      </c>
      <c r="F5" s="23">
        <f>RANK(E5,$E$4:$E$53,0)</f>
        <v>44</v>
      </c>
      <c r="G5" s="23" t="str">
        <f>IF(F5&lt;=10,"Top 10","Standard")</f>
        <v>Standard</v>
      </c>
      <c r="H5" s="24">
        <f>IFERROR(E5/C5,0)</f>
        <v>245.97600000000003</v>
      </c>
      <c r="J5" s="16">
        <v>2</v>
      </c>
      <c r="K5" s="16" t="str">
        <f>_xlfn.SINGLE(INDEX($A$4:$A$53,MATCH(M5,$E$4:$E$53,0)))</f>
        <v>CUST029</v>
      </c>
      <c r="L5" s="16" t="str">
        <f>_xlfn.SINGLE(INDEX($B$4:$B$53,MATCH(M5,$E$4:$E$53,0)))</f>
        <v>Edward Mitchell</v>
      </c>
      <c r="M5" s="19">
        <f>LARGE($E$4:$E$53,J5)</f>
        <v>11919.77</v>
      </c>
    </row>
    <row r="6" spans="1:13">
      <c r="A6" s="23" t="s">
        <v>42</v>
      </c>
      <c r="B6" s="23" t="s">
        <v>43</v>
      </c>
      <c r="C6" s="23">
        <v>9</v>
      </c>
      <c r="D6" s="23">
        <v>26</v>
      </c>
      <c r="E6" s="24">
        <v>6169.74</v>
      </c>
      <c r="F6" s="23">
        <f>RANK(E6,$E$4:$E$53,0)</f>
        <v>14</v>
      </c>
      <c r="G6" s="23" t="str">
        <f>IF(F6&lt;=10,"Top 10","Standard")</f>
        <v>Standard</v>
      </c>
      <c r="H6" s="24">
        <f>IFERROR(E6/C6,0)</f>
        <v>685.52666666666664</v>
      </c>
      <c r="J6" s="16">
        <v>3</v>
      </c>
      <c r="K6" s="16" t="str">
        <f>_xlfn.SINGLE(INDEX($A$4:$A$53,MATCH(M6,$E$4:$E$53,0)))</f>
        <v>CUST018</v>
      </c>
      <c r="L6" s="16" t="str">
        <f>_xlfn.SINGLE(INDEX($B$4:$B$53,MATCH(M6,$E$4:$E$53,0)))</f>
        <v>Barbara Young</v>
      </c>
      <c r="M6" s="19">
        <f>LARGE($E$4:$E$53,J6)</f>
        <v>10649.8</v>
      </c>
    </row>
    <row r="7" spans="1:13">
      <c r="A7" s="23" t="s">
        <v>154</v>
      </c>
      <c r="B7" s="23" t="s">
        <v>155</v>
      </c>
      <c r="C7" s="23">
        <v>5</v>
      </c>
      <c r="D7" s="23">
        <v>19</v>
      </c>
      <c r="E7" s="24">
        <v>5499.81</v>
      </c>
      <c r="F7" s="23">
        <f>RANK(E7,$E$4:$E$53,0)</f>
        <v>19</v>
      </c>
      <c r="G7" s="23" t="str">
        <f>IF(F7&lt;=10,"Top 10","Standard")</f>
        <v>Standard</v>
      </c>
      <c r="H7" s="24">
        <f>IFERROR(E7/C7,0)</f>
        <v>1099.962</v>
      </c>
      <c r="J7" s="16">
        <v>4</v>
      </c>
      <c r="K7" s="16" t="str">
        <f>_xlfn.SINGLE(INDEX($A$4:$A$53,MATCH(M7,$E$4:$E$53,0)))</f>
        <v>CUST012</v>
      </c>
      <c r="L7" s="16" t="str">
        <f>_xlfn.SINGLE(INDEX($B$4:$B$53,MATCH(M7,$E$4:$E$53,0)))</f>
        <v>Patricia Moore</v>
      </c>
      <c r="M7" s="19">
        <f>LARGE($E$4:$E$53,J7)</f>
        <v>9799.73</v>
      </c>
    </row>
    <row r="8" spans="1:13">
      <c r="A8" s="23" t="s">
        <v>304</v>
      </c>
      <c r="B8" s="23" t="s">
        <v>305</v>
      </c>
      <c r="C8" s="23">
        <v>1</v>
      </c>
      <c r="D8" s="23">
        <v>3</v>
      </c>
      <c r="E8" s="24">
        <v>179.97</v>
      </c>
      <c r="F8" s="23">
        <f>RANK(E8,$E$4:$E$53,0)</f>
        <v>50</v>
      </c>
      <c r="G8" s="23" t="str">
        <f>IF(F8&lt;=10,"Top 10","Standard")</f>
        <v>Standard</v>
      </c>
      <c r="H8" s="24">
        <f>IFERROR(E8/C8,0)</f>
        <v>179.97</v>
      </c>
      <c r="J8" s="16">
        <v>5</v>
      </c>
      <c r="K8" s="16" t="str">
        <f>_xlfn.SINGLE(INDEX($A$4:$A$53,MATCH(M8,$E$4:$E$53,0)))</f>
        <v>CUST023</v>
      </c>
      <c r="L8" s="16" t="str">
        <f>_xlfn.SINGLE(INDEX($B$4:$B$53,MATCH(M8,$E$4:$E$53,0)))</f>
        <v>Paul Baker</v>
      </c>
      <c r="M8" s="19">
        <f>LARGE($E$4:$E$53,J8)</f>
        <v>8309.74</v>
      </c>
    </row>
    <row r="9" spans="1:13">
      <c r="A9" s="23" t="s">
        <v>129</v>
      </c>
      <c r="B9" s="23" t="s">
        <v>130</v>
      </c>
      <c r="C9" s="23">
        <v>5</v>
      </c>
      <c r="D9" s="23">
        <v>20</v>
      </c>
      <c r="E9" s="24">
        <v>2039.8</v>
      </c>
      <c r="F9" s="23">
        <f>RANK(E9,$E$4:$E$53,0)</f>
        <v>36</v>
      </c>
      <c r="G9" s="23" t="str">
        <f>IF(F9&lt;=10,"Top 10","Standard")</f>
        <v>Standard</v>
      </c>
      <c r="H9" s="24">
        <f>IFERROR(E9/C9,0)</f>
        <v>407.96</v>
      </c>
      <c r="J9" s="16">
        <v>6</v>
      </c>
      <c r="K9" s="16" t="str">
        <f>_xlfn.SINGLE(INDEX($A$4:$A$53,MATCH(M9,$E$4:$E$53,0)))</f>
        <v>CUST024</v>
      </c>
      <c r="L9" s="16" t="str">
        <f>_xlfn.SINGLE(INDEX($B$4:$B$53,MATCH(M9,$E$4:$E$53,0)))</f>
        <v>Dorothy Nelson</v>
      </c>
      <c r="M9" s="19">
        <f>LARGE($E$4:$E$53,J9)</f>
        <v>8269.7900000000009</v>
      </c>
    </row>
    <row r="10" spans="1:13">
      <c r="A10" s="23" t="s">
        <v>182</v>
      </c>
      <c r="B10" s="23" t="s">
        <v>183</v>
      </c>
      <c r="C10" s="23">
        <v>6</v>
      </c>
      <c r="D10" s="23">
        <v>16</v>
      </c>
      <c r="E10" s="24">
        <v>1809.84</v>
      </c>
      <c r="F10" s="23">
        <f>RANK(E10,$E$4:$E$53,0)</f>
        <v>39</v>
      </c>
      <c r="G10" s="23" t="str">
        <f>IF(F10&lt;=10,"Top 10","Standard")</f>
        <v>Standard</v>
      </c>
      <c r="H10" s="24">
        <f>IFERROR(E10/C10,0)</f>
        <v>301.64</v>
      </c>
      <c r="J10" s="16">
        <v>7</v>
      </c>
      <c r="K10" s="16" t="str">
        <f>_xlfn.SINGLE(INDEX($A$4:$A$53,MATCH(M10,$E$4:$E$53,0)))</f>
        <v>CUST026</v>
      </c>
      <c r="L10" s="16" t="str">
        <f>_xlfn.SINGLE(INDEX($B$4:$B$53,MATCH(M10,$E$4:$E$53,0)))</f>
        <v>Karen Hill</v>
      </c>
      <c r="M10" s="19">
        <f>LARGE($E$4:$E$53,J10)</f>
        <v>8009.77</v>
      </c>
    </row>
    <row r="11" spans="1:13">
      <c r="A11" s="23" t="s">
        <v>141</v>
      </c>
      <c r="B11" s="23" t="s">
        <v>142</v>
      </c>
      <c r="C11" s="23">
        <v>4</v>
      </c>
      <c r="D11" s="23">
        <v>15</v>
      </c>
      <c r="E11" s="24">
        <v>4739.8500000000004</v>
      </c>
      <c r="F11" s="23">
        <f>RANK(E11,$E$4:$E$53,0)</f>
        <v>24</v>
      </c>
      <c r="G11" s="23" t="str">
        <f>IF(F11&lt;=10,"Top 10","Standard")</f>
        <v>Standard</v>
      </c>
      <c r="H11" s="24">
        <f>IFERROR(E11/C11,0)</f>
        <v>1184.9625000000001</v>
      </c>
      <c r="J11" s="16">
        <v>8</v>
      </c>
      <c r="K11" s="16" t="str">
        <f>_xlfn.SINGLE(INDEX($A$4:$A$53,MATCH(M11,$E$4:$E$53,0)))</f>
        <v>CUST019</v>
      </c>
      <c r="L11" s="16" t="str">
        <f>_xlfn.SINGLE(INDEX($B$4:$B$53,MATCH(M11,$E$4:$E$53,0)))</f>
        <v>Daniel King</v>
      </c>
      <c r="M11" s="19">
        <f>LARGE($E$4:$E$53,J11)</f>
        <v>7309.8</v>
      </c>
    </row>
    <row r="12" spans="1:13">
      <c r="A12" s="23" t="s">
        <v>59</v>
      </c>
      <c r="B12" s="23" t="s">
        <v>60</v>
      </c>
      <c r="C12" s="23">
        <v>5</v>
      </c>
      <c r="D12" s="23">
        <v>10</v>
      </c>
      <c r="E12" s="24">
        <v>3509.9</v>
      </c>
      <c r="F12" s="23">
        <f>RANK(E12,$E$4:$E$53,0)</f>
        <v>32</v>
      </c>
      <c r="G12" s="23" t="str">
        <f>IF(F12&lt;=10,"Top 10","Standard")</f>
        <v>Standard</v>
      </c>
      <c r="H12" s="24">
        <f>IFERROR(E12/C12,0)</f>
        <v>701.98</v>
      </c>
      <c r="J12" s="16">
        <v>9</v>
      </c>
      <c r="K12" s="16" t="str">
        <f>_xlfn.SINGLE(INDEX($A$4:$A$53,MATCH(M12,$E$4:$E$53,0)))</f>
        <v>CUST039</v>
      </c>
      <c r="L12" s="16" t="str">
        <f>_xlfn.SINGLE(INDEX($B$4:$B$53,MATCH(M12,$E$4:$E$53,0)))</f>
        <v>Lawrence Reed</v>
      </c>
      <c r="M12" s="19">
        <f>LARGE($E$4:$E$53,J12)</f>
        <v>6989.77</v>
      </c>
    </row>
    <row r="13" spans="1:13">
      <c r="A13" s="23" t="s">
        <v>89</v>
      </c>
      <c r="B13" s="23" t="s">
        <v>90</v>
      </c>
      <c r="C13" s="23">
        <v>4</v>
      </c>
      <c r="D13" s="23">
        <v>7</v>
      </c>
      <c r="E13" s="24">
        <v>1909.93</v>
      </c>
      <c r="F13" s="23">
        <f>RANK(E13,$E$4:$E$53,0)</f>
        <v>38</v>
      </c>
      <c r="G13" s="23" t="str">
        <f>IF(F13&lt;=10,"Top 10","Standard")</f>
        <v>Standard</v>
      </c>
      <c r="H13" s="24">
        <f>IFERROR(E13/C13,0)</f>
        <v>477.48250000000002</v>
      </c>
      <c r="J13" s="16">
        <v>10</v>
      </c>
      <c r="K13" s="16" t="str">
        <f>_xlfn.SINGLE(INDEX($A$4:$A$53,MATCH(M13,$E$4:$E$53,0)))</f>
        <v>CUST013</v>
      </c>
      <c r="L13" s="16" t="str">
        <f>_xlfn.SINGLE(INDEX($B$4:$B$53,MATCH(M13,$E$4:$E$53,0)))</f>
        <v>Joseph Jackson</v>
      </c>
      <c r="M13" s="19">
        <f>LARGE($E$4:$E$53,J13)</f>
        <v>6949.84</v>
      </c>
    </row>
    <row r="14" spans="1:13">
      <c r="A14" s="23" t="s">
        <v>252</v>
      </c>
      <c r="B14" s="23" t="s">
        <v>253</v>
      </c>
      <c r="C14" s="23">
        <v>3</v>
      </c>
      <c r="D14" s="23">
        <v>9</v>
      </c>
      <c r="E14" s="24">
        <v>4749.91</v>
      </c>
      <c r="F14" s="23">
        <f>RANK(E14,$E$4:$E$53,0)</f>
        <v>23</v>
      </c>
      <c r="G14" s="23" t="str">
        <f>IF(F14&lt;=10,"Top 10","Standard")</f>
        <v>Standard</v>
      </c>
      <c r="H14" s="24">
        <f>IFERROR(E14/C14,0)</f>
        <v>1583.3033333333333</v>
      </c>
    </row>
    <row r="15" spans="1:13">
      <c r="A15" s="23" t="s">
        <v>99</v>
      </c>
      <c r="B15" s="23" t="s">
        <v>100</v>
      </c>
      <c r="C15" s="23">
        <v>8</v>
      </c>
      <c r="D15" s="23">
        <v>27</v>
      </c>
      <c r="E15" s="24">
        <v>9799.73</v>
      </c>
      <c r="F15" s="23">
        <f>RANK(E15,$E$4:$E$53,0)</f>
        <v>4</v>
      </c>
      <c r="G15" s="23" t="str">
        <f>IF(F15&lt;=10,"Top 10","Standard")</f>
        <v>Top 10</v>
      </c>
      <c r="H15" s="24">
        <f>IFERROR(E15/C15,0)</f>
        <v>1224.9662499999999</v>
      </c>
    </row>
    <row r="16" spans="1:13" ht="18">
      <c r="A16" s="23" t="s">
        <v>24</v>
      </c>
      <c r="B16" s="23" t="s">
        <v>25</v>
      </c>
      <c r="C16" s="23">
        <v>5</v>
      </c>
      <c r="D16" s="23">
        <v>16</v>
      </c>
      <c r="E16" s="24">
        <v>6949.84</v>
      </c>
      <c r="F16" s="23">
        <f>RANK(E16,$E$4:$E$53,0)</f>
        <v>10</v>
      </c>
      <c r="G16" s="23" t="str">
        <f>IF(F16&lt;=10,"Top 10","Standard")</f>
        <v>Top 10</v>
      </c>
      <c r="H16" s="24">
        <f>IFERROR(E16/C16,0)</f>
        <v>1389.9680000000001</v>
      </c>
      <c r="J16" s="20" t="s">
        <v>420</v>
      </c>
    </row>
    <row r="17" spans="1:13" ht="15" thickBot="1">
      <c r="A17" s="23" t="s">
        <v>112</v>
      </c>
      <c r="B17" s="23" t="s">
        <v>113</v>
      </c>
      <c r="C17" s="23">
        <v>4</v>
      </c>
      <c r="D17" s="23">
        <v>10</v>
      </c>
      <c r="E17" s="24">
        <v>1289.9000000000001</v>
      </c>
      <c r="F17" s="23">
        <f>RANK(E17,$E$4:$E$53,0)</f>
        <v>43</v>
      </c>
      <c r="G17" s="23" t="str">
        <f>IF(F17&lt;=10,"Top 10","Standard")</f>
        <v>Standard</v>
      </c>
      <c r="H17" s="24">
        <f>IFERROR(E17/C17,0)</f>
        <v>322.47500000000002</v>
      </c>
      <c r="J17" s="18" t="s">
        <v>2</v>
      </c>
      <c r="K17" s="18" t="s">
        <v>3</v>
      </c>
      <c r="L17" s="18" t="s">
        <v>402</v>
      </c>
      <c r="M17" s="18" t="s">
        <v>421</v>
      </c>
    </row>
    <row r="18" spans="1:13">
      <c r="A18" s="23" t="s">
        <v>259</v>
      </c>
      <c r="B18" s="23" t="s">
        <v>260</v>
      </c>
      <c r="C18" s="23">
        <v>3</v>
      </c>
      <c r="D18" s="23">
        <v>7</v>
      </c>
      <c r="E18" s="24">
        <v>739.93</v>
      </c>
      <c r="F18" s="23">
        <f>RANK(E18,$E$4:$E$53,0)</f>
        <v>46</v>
      </c>
      <c r="G18" s="23" t="str">
        <f>IF(F18&lt;=10,"Top 10","Standard")</f>
        <v>Standard</v>
      </c>
      <c r="H18" s="24">
        <f>IFERROR(E18/C18,0)</f>
        <v>246.64333333333332</v>
      </c>
      <c r="J18" s="16" t="s">
        <v>386</v>
      </c>
      <c r="K18" s="16" t="s">
        <v>387</v>
      </c>
      <c r="L18" s="21">
        <f ca="1">NOW()</f>
        <v>46282.345924652778</v>
      </c>
      <c r="M18" s="16" t="s">
        <v>422</v>
      </c>
    </row>
    <row r="19" spans="1:13">
      <c r="A19" s="23" t="s">
        <v>211</v>
      </c>
      <c r="B19" s="23" t="s">
        <v>212</v>
      </c>
      <c r="C19" s="23">
        <v>4</v>
      </c>
      <c r="D19" s="23">
        <v>14</v>
      </c>
      <c r="E19" s="24">
        <v>3649.86</v>
      </c>
      <c r="F19" s="23">
        <f>RANK(E19,$E$4:$E$53,0)</f>
        <v>31</v>
      </c>
      <c r="G19" s="23" t="str">
        <f>IF(F19&lt;=10,"Top 10","Standard")</f>
        <v>Standard</v>
      </c>
      <c r="H19" s="24">
        <f>IFERROR(E19/C19,0)</f>
        <v>912.46500000000003</v>
      </c>
      <c r="J19" s="16" t="s">
        <v>132</v>
      </c>
      <c r="K19" s="16" t="s">
        <v>133</v>
      </c>
      <c r="L19" s="21">
        <f ca="1">NOW()</f>
        <v>46282.345924652778</v>
      </c>
      <c r="M19" s="16" t="s">
        <v>422</v>
      </c>
    </row>
    <row r="20" spans="1:13">
      <c r="A20" s="23" t="s">
        <v>55</v>
      </c>
      <c r="B20" s="23" t="s">
        <v>56</v>
      </c>
      <c r="C20" s="23">
        <v>9</v>
      </c>
      <c r="D20" s="23">
        <v>27</v>
      </c>
      <c r="E20" s="24">
        <v>5089.7299999999996</v>
      </c>
      <c r="F20" s="23">
        <f>RANK(E20,$E$4:$E$53,0)</f>
        <v>20</v>
      </c>
      <c r="G20" s="23" t="str">
        <f>IF(F20&lt;=10,"Top 10","Standard")</f>
        <v>Standard</v>
      </c>
      <c r="H20" s="24">
        <f>IFERROR(E20/C20,0)</f>
        <v>565.52555555555546</v>
      </c>
      <c r="J20" s="16" t="s">
        <v>42</v>
      </c>
      <c r="K20" s="16" t="s">
        <v>43</v>
      </c>
      <c r="L20" s="21">
        <f ca="1">NOW()</f>
        <v>46282.345924652778</v>
      </c>
      <c r="M20" s="16" t="s">
        <v>422</v>
      </c>
    </row>
    <row r="21" spans="1:13">
      <c r="A21" s="23" t="s">
        <v>96</v>
      </c>
      <c r="B21" s="23" t="s">
        <v>97</v>
      </c>
      <c r="C21" s="23">
        <v>5</v>
      </c>
      <c r="D21" s="23">
        <v>20</v>
      </c>
      <c r="E21" s="24">
        <v>10649.8</v>
      </c>
      <c r="F21" s="23">
        <f>RANK(E21,$E$4:$E$53,0)</f>
        <v>3</v>
      </c>
      <c r="G21" s="23" t="str">
        <f>IF(F21&lt;=10,"Top 10","Standard")</f>
        <v>Top 10</v>
      </c>
      <c r="H21" s="24">
        <f>IFERROR(E21/C21,0)</f>
        <v>2129.96</v>
      </c>
      <c r="J21" s="16" t="s">
        <v>154</v>
      </c>
      <c r="K21" s="16" t="s">
        <v>155</v>
      </c>
      <c r="L21" s="21">
        <f ca="1">NOW()</f>
        <v>46282.345924652778</v>
      </c>
      <c r="M21" s="16" t="s">
        <v>422</v>
      </c>
    </row>
    <row r="22" spans="1:13">
      <c r="A22" s="23" t="s">
        <v>147</v>
      </c>
      <c r="B22" s="23" t="s">
        <v>148</v>
      </c>
      <c r="C22" s="23">
        <v>7</v>
      </c>
      <c r="D22" s="23">
        <v>20</v>
      </c>
      <c r="E22" s="24">
        <v>7309.8</v>
      </c>
      <c r="F22" s="23">
        <f>RANK(E22,$E$4:$E$53,0)</f>
        <v>8</v>
      </c>
      <c r="G22" s="23" t="str">
        <f>IF(F22&lt;=10,"Top 10","Standard")</f>
        <v>Top 10</v>
      </c>
      <c r="H22" s="24">
        <f>IFERROR(E22/C22,0)</f>
        <v>1044.257142857143</v>
      </c>
      <c r="J22" s="16" t="s">
        <v>304</v>
      </c>
      <c r="K22" s="16" t="s">
        <v>305</v>
      </c>
      <c r="L22" s="21">
        <f ca="1">NOW()</f>
        <v>46282.345924652778</v>
      </c>
      <c r="M22" s="16" t="s">
        <v>422</v>
      </c>
    </row>
    <row r="23" spans="1:13">
      <c r="A23" s="23" t="s">
        <v>185</v>
      </c>
      <c r="B23" s="23" t="s">
        <v>186</v>
      </c>
      <c r="C23" s="23">
        <v>4</v>
      </c>
      <c r="D23" s="23">
        <v>12</v>
      </c>
      <c r="E23" s="24">
        <v>2099.88</v>
      </c>
      <c r="F23" s="23">
        <f>RANK(E23,$E$4:$E$53,0)</f>
        <v>35</v>
      </c>
      <c r="G23" s="23" t="str">
        <f>IF(F23&lt;=10,"Top 10","Standard")</f>
        <v>Standard</v>
      </c>
      <c r="H23" s="24">
        <f>IFERROR(E23/C23,0)</f>
        <v>524.97</v>
      </c>
      <c r="J23" s="16" t="s">
        <v>129</v>
      </c>
      <c r="K23" s="16" t="s">
        <v>130</v>
      </c>
      <c r="L23" s="21">
        <f ca="1">NOW()</f>
        <v>46282.345924652778</v>
      </c>
      <c r="M23" s="16" t="s">
        <v>422</v>
      </c>
    </row>
    <row r="24" spans="1:13">
      <c r="A24" s="23" t="s">
        <v>29</v>
      </c>
      <c r="B24" s="23" t="s">
        <v>30</v>
      </c>
      <c r="C24" s="23">
        <v>6</v>
      </c>
      <c r="D24" s="23">
        <v>13</v>
      </c>
      <c r="E24" s="24">
        <v>3259.87</v>
      </c>
      <c r="F24" s="23">
        <f>RANK(E24,$E$4:$E$53,0)</f>
        <v>33</v>
      </c>
      <c r="G24" s="23" t="str">
        <f>IF(F24&lt;=10,"Top 10","Standard")</f>
        <v>Standard</v>
      </c>
      <c r="H24" s="24">
        <f>IFERROR(E24/C24,0)</f>
        <v>543.31166666666661</v>
      </c>
      <c r="J24" s="16" t="s">
        <v>182</v>
      </c>
      <c r="K24" s="16" t="s">
        <v>183</v>
      </c>
      <c r="L24" s="21">
        <f ca="1">NOW()</f>
        <v>46282.345924652778</v>
      </c>
      <c r="M24" s="16" t="s">
        <v>422</v>
      </c>
    </row>
    <row r="25" spans="1:13">
      <c r="A25" s="23" t="s">
        <v>68</v>
      </c>
      <c r="B25" s="23" t="s">
        <v>69</v>
      </c>
      <c r="C25" s="23">
        <v>4</v>
      </c>
      <c r="D25" s="23">
        <v>11</v>
      </c>
      <c r="E25" s="24">
        <v>1979.89</v>
      </c>
      <c r="F25" s="23">
        <f>RANK(E25,$E$4:$E$53,0)</f>
        <v>37</v>
      </c>
      <c r="G25" s="23" t="str">
        <f>IF(F25&lt;=10,"Top 10","Standard")</f>
        <v>Standard</v>
      </c>
      <c r="H25" s="24">
        <f>IFERROR(E25/C25,0)</f>
        <v>494.97250000000003</v>
      </c>
      <c r="J25" s="16" t="s">
        <v>141</v>
      </c>
      <c r="K25" s="16" t="s">
        <v>142</v>
      </c>
      <c r="L25" s="21">
        <f ca="1">NOW()</f>
        <v>46282.345924652778</v>
      </c>
      <c r="M25" s="16" t="s">
        <v>422</v>
      </c>
    </row>
    <row r="26" spans="1:13">
      <c r="A26" s="23" t="s">
        <v>15</v>
      </c>
      <c r="B26" s="23" t="s">
        <v>16</v>
      </c>
      <c r="C26" s="23">
        <v>8</v>
      </c>
      <c r="D26" s="23">
        <v>26</v>
      </c>
      <c r="E26" s="24">
        <v>8309.74</v>
      </c>
      <c r="F26" s="23">
        <f>RANK(E26,$E$4:$E$53,0)</f>
        <v>5</v>
      </c>
      <c r="G26" s="23" t="str">
        <f>IF(F26&lt;=10,"Top 10","Standard")</f>
        <v>Top 10</v>
      </c>
      <c r="H26" s="24">
        <f>IFERROR(E26/C26,0)</f>
        <v>1038.7175</v>
      </c>
      <c r="J26" s="16" t="s">
        <v>59</v>
      </c>
      <c r="K26" s="16" t="s">
        <v>60</v>
      </c>
      <c r="L26" s="21">
        <f ca="1">NOW()</f>
        <v>46282.345924652778</v>
      </c>
      <c r="M26" s="16" t="s">
        <v>422</v>
      </c>
    </row>
    <row r="27" spans="1:13">
      <c r="A27" s="23" t="s">
        <v>48</v>
      </c>
      <c r="B27" s="23" t="s">
        <v>49</v>
      </c>
      <c r="C27" s="23">
        <v>6</v>
      </c>
      <c r="D27" s="23">
        <v>21</v>
      </c>
      <c r="E27" s="24">
        <v>8269.7900000000009</v>
      </c>
      <c r="F27" s="23">
        <f>RANK(E27,$E$4:$E$53,0)</f>
        <v>6</v>
      </c>
      <c r="G27" s="23" t="str">
        <f>IF(F27&lt;=10,"Top 10","Standard")</f>
        <v>Top 10</v>
      </c>
      <c r="H27" s="24">
        <f>IFERROR(E27/C27,0)</f>
        <v>1378.2983333333334</v>
      </c>
      <c r="J27" s="16" t="s">
        <v>89</v>
      </c>
      <c r="K27" s="16" t="s">
        <v>90</v>
      </c>
      <c r="L27" s="21">
        <f ca="1">NOW()</f>
        <v>46282.345924652778</v>
      </c>
      <c r="M27" s="16" t="s">
        <v>422</v>
      </c>
    </row>
    <row r="28" spans="1:13">
      <c r="A28" s="23" t="s">
        <v>86</v>
      </c>
      <c r="B28" s="23" t="s">
        <v>87</v>
      </c>
      <c r="C28" s="23">
        <v>12</v>
      </c>
      <c r="D28" s="23">
        <v>35</v>
      </c>
      <c r="E28" s="24">
        <v>15659.65</v>
      </c>
      <c r="F28" s="23">
        <f>RANK(E28,$E$4:$E$53,0)</f>
        <v>1</v>
      </c>
      <c r="G28" s="23" t="str">
        <f>IF(F28&lt;=10,"Top 10","Standard")</f>
        <v>Top 10</v>
      </c>
      <c r="H28" s="24">
        <f>IFERROR(E28/C28,0)</f>
        <v>1304.9708333333333</v>
      </c>
      <c r="J28" s="16" t="s">
        <v>252</v>
      </c>
      <c r="K28" s="16" t="s">
        <v>253</v>
      </c>
      <c r="L28" s="21">
        <f ca="1">NOW()</f>
        <v>46282.345924652778</v>
      </c>
      <c r="M28" s="16" t="s">
        <v>422</v>
      </c>
    </row>
    <row r="29" spans="1:13">
      <c r="A29" s="23" t="s">
        <v>65</v>
      </c>
      <c r="B29" s="23" t="s">
        <v>66</v>
      </c>
      <c r="C29" s="23">
        <v>8</v>
      </c>
      <c r="D29" s="23">
        <v>23</v>
      </c>
      <c r="E29" s="24">
        <v>8009.77</v>
      </c>
      <c r="F29" s="23">
        <f>RANK(E29,$E$4:$E$53,0)</f>
        <v>7</v>
      </c>
      <c r="G29" s="23" t="str">
        <f>IF(F29&lt;=10,"Top 10","Standard")</f>
        <v>Top 10</v>
      </c>
      <c r="H29" s="24">
        <f>IFERROR(E29/C29,0)</f>
        <v>1001.2212500000001</v>
      </c>
      <c r="J29" s="16" t="s">
        <v>99</v>
      </c>
      <c r="K29" s="16" t="s">
        <v>100</v>
      </c>
      <c r="L29" s="21">
        <f ca="1">NOW()</f>
        <v>46282.345924652778</v>
      </c>
      <c r="M29" s="16" t="s">
        <v>422</v>
      </c>
    </row>
    <row r="30" spans="1:13">
      <c r="A30" s="23" t="s">
        <v>83</v>
      </c>
      <c r="B30" s="23" t="s">
        <v>84</v>
      </c>
      <c r="C30" s="23">
        <v>3</v>
      </c>
      <c r="D30" s="23">
        <v>7</v>
      </c>
      <c r="E30" s="24">
        <v>3779.93</v>
      </c>
      <c r="F30" s="23">
        <f>RANK(E30,$E$4:$E$53,0)</f>
        <v>28</v>
      </c>
      <c r="G30" s="23" t="str">
        <f>IF(F30&lt;=10,"Top 10","Standard")</f>
        <v>Standard</v>
      </c>
      <c r="H30" s="24">
        <f>IFERROR(E30/C30,0)</f>
        <v>1259.9766666666667</v>
      </c>
      <c r="J30" s="16" t="s">
        <v>24</v>
      </c>
      <c r="K30" s="16" t="s">
        <v>25</v>
      </c>
      <c r="L30" s="21">
        <f ca="1">NOW()</f>
        <v>46282.345924652778</v>
      </c>
      <c r="M30" s="16" t="s">
        <v>422</v>
      </c>
    </row>
    <row r="31" spans="1:13">
      <c r="A31" s="23" t="s">
        <v>158</v>
      </c>
      <c r="B31" s="23" t="s">
        <v>159</v>
      </c>
      <c r="C31" s="23">
        <v>5</v>
      </c>
      <c r="D31" s="23">
        <v>16</v>
      </c>
      <c r="E31" s="24">
        <v>5649.84</v>
      </c>
      <c r="F31" s="23">
        <f>RANK(E31,$E$4:$E$53,0)</f>
        <v>16</v>
      </c>
      <c r="G31" s="23" t="str">
        <f>IF(F31&lt;=10,"Top 10","Standard")</f>
        <v>Standard</v>
      </c>
      <c r="H31" s="24">
        <f>IFERROR(E31/C31,0)</f>
        <v>1129.9680000000001</v>
      </c>
      <c r="J31" s="16" t="s">
        <v>112</v>
      </c>
      <c r="K31" s="16" t="s">
        <v>113</v>
      </c>
      <c r="L31" s="21">
        <f ca="1">NOW()</f>
        <v>46282.345924652778</v>
      </c>
      <c r="M31" s="16" t="s">
        <v>422</v>
      </c>
    </row>
    <row r="32" spans="1:13">
      <c r="A32" s="23" t="s">
        <v>123</v>
      </c>
      <c r="B32" s="23" t="s">
        <v>124</v>
      </c>
      <c r="C32" s="23">
        <v>6</v>
      </c>
      <c r="D32" s="23">
        <v>23</v>
      </c>
      <c r="E32" s="24">
        <v>11919.77</v>
      </c>
      <c r="F32" s="23">
        <f>RANK(E32,$E$4:$E$53,0)</f>
        <v>2</v>
      </c>
      <c r="G32" s="23" t="str">
        <f>IF(F32&lt;=10,"Top 10","Standard")</f>
        <v>Top 10</v>
      </c>
      <c r="H32" s="24">
        <f>IFERROR(E32/C32,0)</f>
        <v>1986.6283333333333</v>
      </c>
      <c r="J32" s="16" t="s">
        <v>259</v>
      </c>
      <c r="K32" s="16" t="s">
        <v>260</v>
      </c>
      <c r="L32" s="21">
        <f ca="1">NOW()</f>
        <v>46282.345924652778</v>
      </c>
      <c r="M32" s="16" t="s">
        <v>422</v>
      </c>
    </row>
    <row r="33" spans="1:13">
      <c r="A33" s="23" t="s">
        <v>120</v>
      </c>
      <c r="B33" s="23" t="s">
        <v>121</v>
      </c>
      <c r="C33" s="23">
        <v>7</v>
      </c>
      <c r="D33" s="23">
        <v>21</v>
      </c>
      <c r="E33" s="24">
        <v>6459.79</v>
      </c>
      <c r="F33" s="23">
        <f>RANK(E33,$E$4:$E$53,0)</f>
        <v>11</v>
      </c>
      <c r="G33" s="23" t="str">
        <f>IF(F33&lt;=10,"Top 10","Standard")</f>
        <v>Standard</v>
      </c>
      <c r="H33" s="24">
        <f>IFERROR(E33/C33,0)</f>
        <v>922.8271428571428</v>
      </c>
      <c r="J33" s="16" t="s">
        <v>211</v>
      </c>
      <c r="K33" s="16" t="s">
        <v>212</v>
      </c>
      <c r="L33" s="21">
        <f ca="1">NOW()</f>
        <v>46282.345924652778</v>
      </c>
      <c r="M33" s="16" t="s">
        <v>422</v>
      </c>
    </row>
    <row r="34" spans="1:13">
      <c r="A34" s="23" t="s">
        <v>138</v>
      </c>
      <c r="B34" s="23" t="s">
        <v>139</v>
      </c>
      <c r="C34" s="23">
        <v>6</v>
      </c>
      <c r="D34" s="23">
        <v>17</v>
      </c>
      <c r="E34" s="24">
        <v>2649.83</v>
      </c>
      <c r="F34" s="23">
        <f>RANK(E34,$E$4:$E$53,0)</f>
        <v>34</v>
      </c>
      <c r="G34" s="23" t="str">
        <f>IF(F34&lt;=10,"Top 10","Standard")</f>
        <v>Standard</v>
      </c>
      <c r="H34" s="24">
        <f>IFERROR(E34/C34,0)</f>
        <v>441.63833333333332</v>
      </c>
      <c r="J34" s="16" t="s">
        <v>55</v>
      </c>
      <c r="K34" s="16" t="s">
        <v>56</v>
      </c>
      <c r="L34" s="21">
        <f ca="1">NOW()</f>
        <v>46282.345924652778</v>
      </c>
      <c r="M34" s="16" t="s">
        <v>422</v>
      </c>
    </row>
    <row r="35" spans="1:13">
      <c r="A35" s="23" t="s">
        <v>234</v>
      </c>
      <c r="B35" s="23" t="s">
        <v>235</v>
      </c>
      <c r="C35" s="23">
        <v>5</v>
      </c>
      <c r="D35" s="23">
        <v>17</v>
      </c>
      <c r="E35" s="24">
        <v>6349.83</v>
      </c>
      <c r="F35" s="23">
        <f>RANK(E35,$E$4:$E$53,0)</f>
        <v>13</v>
      </c>
      <c r="G35" s="23" t="str">
        <f>IF(F35&lt;=10,"Top 10","Standard")</f>
        <v>Standard</v>
      </c>
      <c r="H35" s="24">
        <f>IFERROR(E35/C35,0)</f>
        <v>1269.9659999999999</v>
      </c>
      <c r="J35" s="16" t="s">
        <v>96</v>
      </c>
      <c r="K35" s="16" t="s">
        <v>97</v>
      </c>
      <c r="L35" s="21">
        <f ca="1">NOW()</f>
        <v>46282.345924652778</v>
      </c>
      <c r="M35" s="16" t="s">
        <v>422</v>
      </c>
    </row>
    <row r="36" spans="1:13">
      <c r="A36" s="23" t="s">
        <v>192</v>
      </c>
      <c r="B36" s="23" t="s">
        <v>193</v>
      </c>
      <c r="C36" s="23">
        <v>5</v>
      </c>
      <c r="D36" s="23">
        <v>9</v>
      </c>
      <c r="E36" s="24">
        <v>1479.91</v>
      </c>
      <c r="F36" s="23">
        <f>RANK(E36,$E$4:$E$53,0)</f>
        <v>42</v>
      </c>
      <c r="G36" s="23" t="str">
        <f>IF(F36&lt;=10,"Top 10","Standard")</f>
        <v>Standard</v>
      </c>
      <c r="H36" s="24">
        <f>IFERROR(E36/C36,0)</f>
        <v>295.98200000000003</v>
      </c>
      <c r="J36" s="16" t="s">
        <v>147</v>
      </c>
      <c r="K36" s="16" t="s">
        <v>148</v>
      </c>
      <c r="L36" s="21">
        <f ca="1">NOW()</f>
        <v>46282.345924652778</v>
      </c>
      <c r="M36" s="16" t="s">
        <v>422</v>
      </c>
    </row>
    <row r="37" spans="1:13">
      <c r="A37" s="23" t="s">
        <v>231</v>
      </c>
      <c r="B37" s="23" t="s">
        <v>232</v>
      </c>
      <c r="C37" s="23">
        <v>3</v>
      </c>
      <c r="D37" s="23">
        <v>7</v>
      </c>
      <c r="E37" s="24">
        <v>1149.93</v>
      </c>
      <c r="F37" s="23">
        <f>RANK(E37,$E$4:$E$53,0)</f>
        <v>45</v>
      </c>
      <c r="G37" s="23" t="str">
        <f>IF(F37&lt;=10,"Top 10","Standard")</f>
        <v>Standard</v>
      </c>
      <c r="H37" s="24">
        <f>IFERROR(E37/C37,0)</f>
        <v>383.31</v>
      </c>
      <c r="J37" s="16" t="s">
        <v>185</v>
      </c>
      <c r="K37" s="16" t="s">
        <v>186</v>
      </c>
      <c r="L37" s="21">
        <f ca="1">NOW()</f>
        <v>46282.345924652778</v>
      </c>
      <c r="M37" s="16" t="s">
        <v>422</v>
      </c>
    </row>
    <row r="38" spans="1:13">
      <c r="A38" s="23" t="s">
        <v>144</v>
      </c>
      <c r="B38" s="23" t="s">
        <v>145</v>
      </c>
      <c r="C38" s="23">
        <v>4</v>
      </c>
      <c r="D38" s="23">
        <v>11</v>
      </c>
      <c r="E38" s="24">
        <v>5519.89</v>
      </c>
      <c r="F38" s="23">
        <f>RANK(E38,$E$4:$E$53,0)</f>
        <v>18</v>
      </c>
      <c r="G38" s="23" t="str">
        <f>IF(F38&lt;=10,"Top 10","Standard")</f>
        <v>Standard</v>
      </c>
      <c r="H38" s="24">
        <f>IFERROR(E38/C38,0)</f>
        <v>1379.9725000000001</v>
      </c>
    </row>
    <row r="39" spans="1:13">
      <c r="A39" s="23" t="s">
        <v>108</v>
      </c>
      <c r="B39" s="23" t="s">
        <v>109</v>
      </c>
      <c r="C39" s="23">
        <v>6</v>
      </c>
      <c r="D39" s="23">
        <v>23</v>
      </c>
      <c r="E39" s="24">
        <v>4189.7700000000004</v>
      </c>
      <c r="F39" s="23">
        <f>RANK(E39,$E$4:$E$53,0)</f>
        <v>27</v>
      </c>
      <c r="G39" s="23" t="str">
        <f>IF(F39&lt;=10,"Top 10","Standard")</f>
        <v>Standard</v>
      </c>
      <c r="H39" s="24">
        <f>IFERROR(E39/C39,0)</f>
        <v>698.29500000000007</v>
      </c>
    </row>
    <row r="40" spans="1:13">
      <c r="A40" s="23" t="s">
        <v>325</v>
      </c>
      <c r="B40" s="23" t="s">
        <v>326</v>
      </c>
      <c r="C40" s="23">
        <v>3</v>
      </c>
      <c r="D40" s="23">
        <v>6</v>
      </c>
      <c r="E40" s="24">
        <v>1559.94</v>
      </c>
      <c r="F40" s="23">
        <f>RANK(E40,$E$4:$E$53,0)</f>
        <v>41</v>
      </c>
      <c r="G40" s="23" t="str">
        <f>IF(F40&lt;=10,"Top 10","Standard")</f>
        <v>Standard</v>
      </c>
      <c r="H40" s="24">
        <f>IFERROR(E40/C40,0)</f>
        <v>519.98</v>
      </c>
    </row>
    <row r="41" spans="1:13">
      <c r="A41" s="23" t="s">
        <v>78</v>
      </c>
      <c r="B41" s="23" t="s">
        <v>79</v>
      </c>
      <c r="C41" s="23">
        <v>2</v>
      </c>
      <c r="D41" s="23">
        <v>6</v>
      </c>
      <c r="E41" s="24">
        <v>4199.9399999999996</v>
      </c>
      <c r="F41" s="23">
        <f>RANK(E41,$E$4:$E$53,0)</f>
        <v>26</v>
      </c>
      <c r="G41" s="23" t="str">
        <f>IF(F41&lt;=10,"Top 10","Standard")</f>
        <v>Standard</v>
      </c>
      <c r="H41" s="24">
        <f>IFERROR(E41/C41,0)</f>
        <v>2099.9699999999998</v>
      </c>
    </row>
    <row r="42" spans="1:13">
      <c r="A42" s="23" t="s">
        <v>226</v>
      </c>
      <c r="B42" s="23" t="s">
        <v>227</v>
      </c>
      <c r="C42" s="23">
        <v>8</v>
      </c>
      <c r="D42" s="23">
        <v>23</v>
      </c>
      <c r="E42" s="24">
        <v>6989.77</v>
      </c>
      <c r="F42" s="23">
        <f>RANK(E42,$E$4:$E$53,0)</f>
        <v>9</v>
      </c>
      <c r="G42" s="23" t="str">
        <f>IF(F42&lt;=10,"Top 10","Standard")</f>
        <v>Top 10</v>
      </c>
      <c r="H42" s="24">
        <f>IFERROR(E42/C42,0)</f>
        <v>873.72125000000005</v>
      </c>
    </row>
    <row r="43" spans="1:13">
      <c r="A43" s="23" t="s">
        <v>150</v>
      </c>
      <c r="B43" s="23" t="s">
        <v>151</v>
      </c>
      <c r="C43" s="23">
        <v>6</v>
      </c>
      <c r="D43" s="23">
        <v>13</v>
      </c>
      <c r="E43" s="24">
        <v>5619.87</v>
      </c>
      <c r="F43" s="23">
        <f>RANK(E43,$E$4:$E$53,0)</f>
        <v>17</v>
      </c>
      <c r="G43" s="23" t="str">
        <f>IF(F43&lt;=10,"Top 10","Standard")</f>
        <v>Standard</v>
      </c>
      <c r="H43" s="24">
        <f>IFERROR(E43/C43,0)</f>
        <v>936.64499999999998</v>
      </c>
    </row>
    <row r="44" spans="1:13">
      <c r="A44" s="23" t="s">
        <v>72</v>
      </c>
      <c r="B44" s="23" t="s">
        <v>73</v>
      </c>
      <c r="C44" s="23">
        <v>5</v>
      </c>
      <c r="D44" s="23">
        <v>15</v>
      </c>
      <c r="E44" s="24">
        <v>5949.85</v>
      </c>
      <c r="F44" s="23">
        <f>RANK(E44,$E$4:$E$53,0)</f>
        <v>15</v>
      </c>
      <c r="G44" s="23" t="str">
        <f>IF(F44&lt;=10,"Top 10","Standard")</f>
        <v>Standard</v>
      </c>
      <c r="H44" s="24">
        <f>IFERROR(E44/C44,0)</f>
        <v>1189.97</v>
      </c>
    </row>
    <row r="45" spans="1:13">
      <c r="A45" s="23" t="s">
        <v>246</v>
      </c>
      <c r="B45" s="23" t="s">
        <v>247</v>
      </c>
      <c r="C45" s="23">
        <v>3</v>
      </c>
      <c r="D45" s="23">
        <v>8</v>
      </c>
      <c r="E45" s="24">
        <v>1749.92</v>
      </c>
      <c r="F45" s="23">
        <f>RANK(E45,$E$4:$E$53,0)</f>
        <v>40</v>
      </c>
      <c r="G45" s="23" t="str">
        <f>IF(F45&lt;=10,"Top 10","Standard")</f>
        <v>Standard</v>
      </c>
      <c r="H45" s="24">
        <f>IFERROR(E45/C45,0)</f>
        <v>583.30666666666673</v>
      </c>
    </row>
    <row r="46" spans="1:13">
      <c r="A46" s="23" t="s">
        <v>75</v>
      </c>
      <c r="B46" s="23" t="s">
        <v>76</v>
      </c>
      <c r="C46" s="23">
        <v>2</v>
      </c>
      <c r="D46" s="23">
        <v>8</v>
      </c>
      <c r="E46" s="24">
        <v>479.92</v>
      </c>
      <c r="F46" s="23">
        <f>RANK(E46,$E$4:$E$53,0)</f>
        <v>48</v>
      </c>
      <c r="G46" s="23" t="str">
        <f>IF(F46&lt;=10,"Top 10","Standard")</f>
        <v>Standard</v>
      </c>
      <c r="H46" s="24">
        <f>IFERROR(E46/C46,0)</f>
        <v>239.96</v>
      </c>
    </row>
    <row r="47" spans="1:13">
      <c r="A47" s="23" t="s">
        <v>102</v>
      </c>
      <c r="B47" s="23" t="s">
        <v>103</v>
      </c>
      <c r="C47" s="23">
        <v>5</v>
      </c>
      <c r="D47" s="23">
        <v>17</v>
      </c>
      <c r="E47" s="24">
        <v>3769.83</v>
      </c>
      <c r="F47" s="23">
        <f>RANK(E47,$E$4:$E$53,0)</f>
        <v>29</v>
      </c>
      <c r="G47" s="23" t="str">
        <f>IF(F47&lt;=10,"Top 10","Standard")</f>
        <v>Standard</v>
      </c>
      <c r="H47" s="24">
        <f>IFERROR(E47/C47,0)</f>
        <v>753.96600000000001</v>
      </c>
    </row>
    <row r="48" spans="1:13">
      <c r="A48" s="23" t="s">
        <v>293</v>
      </c>
      <c r="B48" s="23" t="s">
        <v>294</v>
      </c>
      <c r="C48" s="23">
        <v>4</v>
      </c>
      <c r="D48" s="23">
        <v>11</v>
      </c>
      <c r="E48" s="24">
        <v>4829.8900000000003</v>
      </c>
      <c r="F48" s="23">
        <f>RANK(E48,$E$4:$E$53,0)</f>
        <v>21</v>
      </c>
      <c r="G48" s="23" t="str">
        <f>IF(F48&lt;=10,"Top 10","Standard")</f>
        <v>Standard</v>
      </c>
      <c r="H48" s="24">
        <f>IFERROR(E48/C48,0)</f>
        <v>1207.4725000000001</v>
      </c>
    </row>
    <row r="49" spans="1:8">
      <c r="A49" s="23" t="s">
        <v>38</v>
      </c>
      <c r="B49" s="23" t="s">
        <v>39</v>
      </c>
      <c r="C49" s="23">
        <v>6</v>
      </c>
      <c r="D49" s="23">
        <v>19</v>
      </c>
      <c r="E49" s="24">
        <v>4309.8100000000004</v>
      </c>
      <c r="F49" s="23">
        <f>RANK(E49,$E$4:$E$53,0)</f>
        <v>25</v>
      </c>
      <c r="G49" s="23" t="str">
        <f>IF(F49&lt;=10,"Top 10","Standard")</f>
        <v>Standard</v>
      </c>
      <c r="H49" s="24">
        <f>IFERROR(E49/C49,0)</f>
        <v>718.30166666666673</v>
      </c>
    </row>
    <row r="50" spans="1:8">
      <c r="A50" s="23" t="s">
        <v>196</v>
      </c>
      <c r="B50" s="23" t="s">
        <v>197</v>
      </c>
      <c r="C50" s="23">
        <v>4</v>
      </c>
      <c r="D50" s="23">
        <v>13</v>
      </c>
      <c r="E50" s="24">
        <v>6379.87</v>
      </c>
      <c r="F50" s="23">
        <f>RANK(E50,$E$4:$E$53,0)</f>
        <v>12</v>
      </c>
      <c r="G50" s="23" t="str">
        <f>IF(F50&lt;=10,"Top 10","Standard")</f>
        <v>Standard</v>
      </c>
      <c r="H50" s="24">
        <f>IFERROR(E50/C50,0)</f>
        <v>1594.9675</v>
      </c>
    </row>
    <row r="51" spans="1:8">
      <c r="A51" s="23" t="s">
        <v>93</v>
      </c>
      <c r="B51" s="23" t="s">
        <v>94</v>
      </c>
      <c r="C51" s="23">
        <v>6</v>
      </c>
      <c r="D51" s="23">
        <v>21</v>
      </c>
      <c r="E51" s="24">
        <v>4789.79</v>
      </c>
      <c r="F51" s="23">
        <f>RANK(E51,$E$4:$E$53,0)</f>
        <v>22</v>
      </c>
      <c r="G51" s="23" t="str">
        <f>IF(F51&lt;=10,"Top 10","Standard")</f>
        <v>Standard</v>
      </c>
      <c r="H51" s="24">
        <f>IFERROR(E51/C51,0)</f>
        <v>798.29833333333329</v>
      </c>
    </row>
    <row r="52" spans="1:8">
      <c r="A52" s="23" t="s">
        <v>171</v>
      </c>
      <c r="B52" s="23" t="s">
        <v>172</v>
      </c>
      <c r="C52" s="23">
        <v>4</v>
      </c>
      <c r="D52" s="23">
        <v>15</v>
      </c>
      <c r="E52" s="24">
        <v>3669.85</v>
      </c>
      <c r="F52" s="23">
        <f>RANK(E52,$E$4:$E$53,0)</f>
        <v>30</v>
      </c>
      <c r="G52" s="23" t="str">
        <f>IF(F52&lt;=10,"Top 10","Standard")</f>
        <v>Standard</v>
      </c>
      <c r="H52" s="24">
        <f>IFERROR(E52/C52,0)</f>
        <v>917.46249999999998</v>
      </c>
    </row>
    <row r="53" spans="1:8">
      <c r="A53" s="23" t="s">
        <v>162</v>
      </c>
      <c r="B53" s="23" t="s">
        <v>163</v>
      </c>
      <c r="C53" s="23">
        <v>1</v>
      </c>
      <c r="D53" s="23">
        <v>4</v>
      </c>
      <c r="E53" s="24">
        <v>239.96</v>
      </c>
      <c r="F53" s="23">
        <f>RANK(E53,$E$4:$E$53,0)</f>
        <v>49</v>
      </c>
      <c r="G53" s="23" t="str">
        <f>IF(F53&lt;=10,"Top 10","Standard")</f>
        <v>Standard</v>
      </c>
      <c r="H53" s="24">
        <f>IFERROR(E53/C53,0)</f>
        <v>239.96</v>
      </c>
    </row>
  </sheetData>
  <mergeCells count="1">
    <mergeCell ref="A1:H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B25A-87E2-4DF6-B509-236291484632}">
  <dimension ref="A3:C6"/>
  <sheetViews>
    <sheetView topLeftCell="A2" workbookViewId="0">
      <selection activeCell="A3" sqref="A3:C6"/>
    </sheetView>
  </sheetViews>
  <sheetFormatPr defaultRowHeight="14.4"/>
  <cols>
    <col min="1" max="1" width="12.5546875" bestFit="1" customWidth="1"/>
    <col min="2" max="2" width="14.88671875" bestFit="1" customWidth="1"/>
    <col min="3" max="3" width="16.21875" bestFit="1" customWidth="1"/>
  </cols>
  <sheetData>
    <row r="3" spans="1:3">
      <c r="A3" s="39" t="s">
        <v>479</v>
      </c>
      <c r="B3" t="s">
        <v>483</v>
      </c>
      <c r="C3" t="s">
        <v>488</v>
      </c>
    </row>
    <row r="4" spans="1:3">
      <c r="A4" s="40" t="s">
        <v>481</v>
      </c>
      <c r="B4" s="41">
        <v>527</v>
      </c>
      <c r="C4" s="47">
        <v>52088.219999999958</v>
      </c>
    </row>
    <row r="5" spans="1:3">
      <c r="A5" s="40" t="s">
        <v>482</v>
      </c>
      <c r="B5" s="41">
        <v>226</v>
      </c>
      <c r="C5" s="47">
        <v>22079.280000000017</v>
      </c>
    </row>
    <row r="6" spans="1:3">
      <c r="A6" s="40" t="s">
        <v>480</v>
      </c>
      <c r="B6" s="41">
        <v>753</v>
      </c>
      <c r="C6" s="47">
        <v>74167.499999999971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0A6D-216F-4FE9-A162-B3D9E38D637E}">
  <dimension ref="A1:H18"/>
  <sheetViews>
    <sheetView tabSelected="1" workbookViewId="0">
      <selection activeCell="B13" sqref="B13"/>
    </sheetView>
  </sheetViews>
  <sheetFormatPr defaultRowHeight="14.4"/>
  <cols>
    <col min="1" max="1" width="25" customWidth="1"/>
    <col min="2" max="2" width="17.77734375" customWidth="1"/>
    <col min="3" max="3" width="18.77734375" customWidth="1"/>
    <col min="4" max="4" width="21.33203125" customWidth="1"/>
    <col min="5" max="5" width="17" customWidth="1"/>
    <col min="8" max="8" width="13.5546875" customWidth="1"/>
  </cols>
  <sheetData>
    <row r="1" spans="1:8" ht="23.4">
      <c r="A1" s="17" t="s">
        <v>423</v>
      </c>
      <c r="B1" s="17"/>
      <c r="C1" s="17"/>
      <c r="D1" s="17"/>
      <c r="E1" s="17"/>
      <c r="F1" s="17"/>
      <c r="G1" s="17"/>
      <c r="H1" s="17"/>
    </row>
    <row r="2" spans="1:8">
      <c r="A2" s="16"/>
      <c r="B2" s="16"/>
      <c r="C2" s="16"/>
      <c r="D2" s="16"/>
      <c r="E2" s="16"/>
      <c r="F2" s="16"/>
      <c r="G2" s="16"/>
      <c r="H2" s="16"/>
    </row>
    <row r="3" spans="1:8" ht="18">
      <c r="A3" s="20" t="s">
        <v>424</v>
      </c>
      <c r="B3" s="16"/>
      <c r="C3" s="16"/>
      <c r="D3" s="16"/>
      <c r="E3" s="16"/>
      <c r="F3" s="16"/>
      <c r="G3" s="16"/>
      <c r="H3" s="16"/>
    </row>
    <row r="4" spans="1:8" ht="15" thickBot="1">
      <c r="A4" s="22" t="s">
        <v>425</v>
      </c>
      <c r="B4" s="22" t="s">
        <v>426</v>
      </c>
      <c r="C4" s="22" t="s">
        <v>427</v>
      </c>
      <c r="D4" s="22" t="s">
        <v>428</v>
      </c>
      <c r="E4" s="22" t="s">
        <v>429</v>
      </c>
      <c r="F4" s="16"/>
      <c r="G4" s="16"/>
      <c r="H4" s="16"/>
    </row>
    <row r="5" spans="1:8">
      <c r="A5" s="23" t="s">
        <v>430</v>
      </c>
      <c r="B5" s="28">
        <v>-0.1</v>
      </c>
      <c r="C5" s="24">
        <v>206273.223</v>
      </c>
      <c r="D5" s="24">
        <f>C5*25%</f>
        <v>51568.30575</v>
      </c>
      <c r="E5" s="24">
        <f>C5-$C$7</f>
        <v>-22919.247000000003</v>
      </c>
      <c r="F5" s="16"/>
      <c r="G5" s="16"/>
      <c r="H5" s="16"/>
    </row>
    <row r="6" spans="1:8">
      <c r="A6" s="23" t="s">
        <v>431</v>
      </c>
      <c r="B6" s="28">
        <v>-0.05</v>
      </c>
      <c r="C6" s="24">
        <v>217732.84650000001</v>
      </c>
      <c r="D6" s="24">
        <f>C6*25%</f>
        <v>54433.211625000004</v>
      </c>
      <c r="E6" s="24">
        <f>C6-$C$7</f>
        <v>-11459.623499999987</v>
      </c>
      <c r="F6" s="16"/>
      <c r="G6" s="16"/>
      <c r="H6" s="16"/>
    </row>
    <row r="7" spans="1:8">
      <c r="A7" s="23" t="s">
        <v>432</v>
      </c>
      <c r="B7" s="28">
        <v>0</v>
      </c>
      <c r="C7" s="24">
        <v>229192.47</v>
      </c>
      <c r="D7" s="24">
        <f>C7*25%</f>
        <v>57298.1175</v>
      </c>
      <c r="E7" s="24">
        <f>C7-$C$7</f>
        <v>0</v>
      </c>
      <c r="F7" s="16"/>
      <c r="G7" s="16"/>
      <c r="H7" s="16"/>
    </row>
    <row r="8" spans="1:8">
      <c r="A8" s="23" t="s">
        <v>433</v>
      </c>
      <c r="B8" s="28">
        <v>0.05</v>
      </c>
      <c r="C8" s="24">
        <v>240652.09349999999</v>
      </c>
      <c r="D8" s="24">
        <f>C8*25%</f>
        <v>60163.023374999997</v>
      </c>
      <c r="E8" s="24">
        <f>C8-$C$7</f>
        <v>11459.623499999987</v>
      </c>
      <c r="F8" s="16"/>
      <c r="G8" s="16"/>
      <c r="H8" s="16"/>
    </row>
    <row r="9" spans="1:8">
      <c r="A9" s="23" t="s">
        <v>434</v>
      </c>
      <c r="B9" s="28">
        <v>0.1</v>
      </c>
      <c r="C9" s="24">
        <v>252111.717</v>
      </c>
      <c r="D9" s="24">
        <f>C9*25%</f>
        <v>63027.929250000001</v>
      </c>
      <c r="E9" s="24">
        <f>C9-$C$7</f>
        <v>22919.247000000003</v>
      </c>
      <c r="F9" s="16"/>
      <c r="G9" s="16"/>
      <c r="H9" s="16"/>
    </row>
    <row r="10" spans="1:8">
      <c r="A10" s="23" t="s">
        <v>435</v>
      </c>
      <c r="B10" s="28">
        <v>0.2</v>
      </c>
      <c r="C10" s="24">
        <v>275030.96399999998</v>
      </c>
      <c r="D10" s="24">
        <f>C10*25%</f>
        <v>68757.740999999995</v>
      </c>
      <c r="E10" s="24">
        <f>C10-$C$7</f>
        <v>45838.493999999977</v>
      </c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  <row r="12" spans="1:8" ht="18">
      <c r="A12" s="20" t="s">
        <v>436</v>
      </c>
      <c r="B12" s="16"/>
      <c r="C12" s="16"/>
      <c r="D12" s="16"/>
      <c r="E12" s="16"/>
      <c r="F12" s="16"/>
      <c r="G12" s="16"/>
      <c r="H12" s="16"/>
    </row>
    <row r="13" spans="1:8">
      <c r="A13" s="16" t="s">
        <v>437</v>
      </c>
      <c r="B13" s="19">
        <v>252111.717</v>
      </c>
      <c r="C13" s="16"/>
      <c r="D13" s="16"/>
      <c r="E13" s="16"/>
      <c r="F13" s="16"/>
      <c r="G13" s="16"/>
      <c r="H13" s="16"/>
    </row>
    <row r="14" spans="1:8">
      <c r="A14" s="16" t="s">
        <v>438</v>
      </c>
      <c r="B14" s="26">
        <v>1</v>
      </c>
      <c r="C14" s="16"/>
      <c r="D14" s="16"/>
      <c r="E14" s="16"/>
      <c r="F14" s="16"/>
      <c r="G14" s="16"/>
      <c r="H14" s="16"/>
    </row>
    <row r="15" spans="1:8">
      <c r="A15" s="16" t="s">
        <v>439</v>
      </c>
      <c r="B15" s="19">
        <v>229192.47</v>
      </c>
      <c r="C15" s="16"/>
      <c r="D15" s="16"/>
      <c r="E15" s="16"/>
      <c r="F15" s="16"/>
      <c r="G15" s="16"/>
      <c r="H15" s="16"/>
    </row>
    <row r="16" spans="1:8">
      <c r="A16" s="16" t="s">
        <v>440</v>
      </c>
      <c r="B16" s="26">
        <v>1.1000000000000001</v>
      </c>
      <c r="C16" s="16"/>
      <c r="D16" s="16"/>
      <c r="E16" s="16"/>
      <c r="F16" s="16"/>
      <c r="G16" s="16"/>
      <c r="H16" s="16"/>
    </row>
    <row r="17" spans="1:8">
      <c r="A17" s="16"/>
      <c r="B17" s="16"/>
      <c r="C17" s="16"/>
      <c r="D17" s="16"/>
      <c r="E17" s="16"/>
      <c r="F17" s="16"/>
      <c r="G17" s="16"/>
      <c r="H17" s="16"/>
    </row>
    <row r="18" spans="1:8">
      <c r="A18" s="27"/>
      <c r="B18" s="27"/>
      <c r="C18" s="27"/>
      <c r="D18" s="27"/>
      <c r="E18" s="27"/>
      <c r="F18" s="27"/>
      <c r="G18" s="27"/>
      <c r="H18" s="27"/>
    </row>
  </sheetData>
  <mergeCells count="2">
    <mergeCell ref="A1:H1"/>
    <mergeCell ref="A18:H18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25E2-90BA-464B-9070-CB8EAA81D2D7}">
  <dimension ref="A1:I273"/>
  <sheetViews>
    <sheetView workbookViewId="0">
      <selection activeCell="G16" sqref="G16"/>
    </sheetView>
  </sheetViews>
  <sheetFormatPr defaultRowHeight="14.4"/>
  <cols>
    <col min="1" max="1" width="19.88671875" customWidth="1"/>
    <col min="2" max="2" width="16.77734375" customWidth="1"/>
    <col min="3" max="3" width="14.88671875" customWidth="1"/>
    <col min="4" max="4" width="12" bestFit="1" customWidth="1"/>
    <col min="5" max="5" width="9.21875" customWidth="1"/>
    <col min="6" max="6" width="16.21875" customWidth="1"/>
    <col min="7" max="7" width="12.109375" customWidth="1"/>
    <col min="8" max="9" width="13.6640625" customWidth="1"/>
  </cols>
  <sheetData>
    <row r="1" spans="1:9" ht="18">
      <c r="A1" s="33" t="s">
        <v>441</v>
      </c>
      <c r="B1" s="33"/>
      <c r="C1" s="32"/>
      <c r="D1" s="34"/>
    </row>
    <row r="3" spans="1:9">
      <c r="A3" s="36" t="s">
        <v>442</v>
      </c>
      <c r="B3" s="36" t="s">
        <v>404</v>
      </c>
    </row>
    <row r="4" spans="1:9">
      <c r="A4" s="35" t="s">
        <v>443</v>
      </c>
      <c r="B4" s="35">
        <v>0.45809869406349091</v>
      </c>
    </row>
    <row r="5" spans="1:9">
      <c r="A5" s="35" t="s">
        <v>444</v>
      </c>
      <c r="B5" s="35">
        <v>0.20985441350267586</v>
      </c>
    </row>
    <row r="6" spans="1:9">
      <c r="A6" s="35" t="s">
        <v>445</v>
      </c>
      <c r="B6" s="35">
        <v>0.20665544351685675</v>
      </c>
    </row>
    <row r="7" spans="1:9">
      <c r="A7" s="35" t="s">
        <v>446</v>
      </c>
      <c r="B7" s="35">
        <v>921.40854264214693</v>
      </c>
    </row>
    <row r="8" spans="1:9">
      <c r="A8" s="35" t="s">
        <v>447</v>
      </c>
      <c r="B8" s="35">
        <v>249</v>
      </c>
    </row>
    <row r="10" spans="1:9">
      <c r="A10" s="32" t="s">
        <v>448</v>
      </c>
      <c r="B10" s="32"/>
      <c r="C10" s="32"/>
      <c r="D10" s="32"/>
      <c r="E10" s="32"/>
    </row>
    <row r="11" spans="1:9">
      <c r="A11" s="37" t="s">
        <v>404</v>
      </c>
      <c r="B11" s="37" t="s">
        <v>453</v>
      </c>
      <c r="C11" s="37" t="s">
        <v>454</v>
      </c>
      <c r="D11" s="37" t="s">
        <v>455</v>
      </c>
      <c r="E11" s="37" t="s">
        <v>456</v>
      </c>
      <c r="F11" s="37" t="s">
        <v>457</v>
      </c>
    </row>
    <row r="12" spans="1:9">
      <c r="A12" s="35" t="s">
        <v>449</v>
      </c>
      <c r="B12" s="35">
        <v>1</v>
      </c>
      <c r="C12" s="35">
        <v>55694513.010666132</v>
      </c>
      <c r="D12" s="35">
        <v>55694513.010666132</v>
      </c>
      <c r="E12" s="35">
        <v>65.600619709765951</v>
      </c>
      <c r="F12" s="35">
        <v>2.5391277291094679E-14</v>
      </c>
    </row>
    <row r="13" spans="1:9">
      <c r="A13" s="35" t="s">
        <v>450</v>
      </c>
      <c r="B13" s="35">
        <v>247</v>
      </c>
      <c r="C13" s="35">
        <v>209701444.50611952</v>
      </c>
      <c r="D13" s="35">
        <v>848993.70245392516</v>
      </c>
      <c r="E13" s="35"/>
      <c r="F13" s="35"/>
    </row>
    <row r="14" spans="1:9">
      <c r="A14" s="35" t="s">
        <v>451</v>
      </c>
      <c r="B14" s="35">
        <v>248</v>
      </c>
      <c r="C14" s="35">
        <v>265395957.51678565</v>
      </c>
      <c r="D14" s="35"/>
      <c r="E14" s="35"/>
      <c r="F14" s="35"/>
    </row>
    <row r="16" spans="1:9">
      <c r="A16" s="37" t="s">
        <v>404</v>
      </c>
      <c r="B16" s="37" t="s">
        <v>458</v>
      </c>
      <c r="C16" s="37" t="s">
        <v>446</v>
      </c>
      <c r="D16" s="37" t="s">
        <v>459</v>
      </c>
      <c r="E16" s="37" t="s">
        <v>460</v>
      </c>
      <c r="F16" s="37" t="s">
        <v>461</v>
      </c>
      <c r="G16" s="37" t="s">
        <v>462</v>
      </c>
      <c r="H16" s="37" t="s">
        <v>463</v>
      </c>
      <c r="I16" s="37" t="s">
        <v>464</v>
      </c>
    </row>
    <row r="17" spans="1:9">
      <c r="A17" s="35" t="s">
        <v>452</v>
      </c>
      <c r="B17" s="35">
        <v>-148.18856276399686</v>
      </c>
      <c r="C17" s="35">
        <v>143.94399015159905</v>
      </c>
      <c r="D17" s="35">
        <v>-1.029487668140417</v>
      </c>
      <c r="E17" s="35">
        <v>0.30425761488766012</v>
      </c>
      <c r="F17" s="35">
        <v>-431.70276968654099</v>
      </c>
      <c r="G17" s="35">
        <v>135.32564415854728</v>
      </c>
      <c r="H17" s="35">
        <v>-431.70276968654099</v>
      </c>
      <c r="I17" s="35">
        <v>135.32564415854728</v>
      </c>
    </row>
    <row r="18" spans="1:9">
      <c r="A18" s="35">
        <v>3</v>
      </c>
      <c r="B18" s="35">
        <v>353.78860283764737</v>
      </c>
      <c r="C18" s="35">
        <v>43.680727926547888</v>
      </c>
      <c r="D18" s="35">
        <v>8.099420949041118</v>
      </c>
      <c r="E18" s="35">
        <v>2.5391277291093214E-14</v>
      </c>
      <c r="F18" s="35">
        <v>267.75439659637294</v>
      </c>
      <c r="G18" s="35">
        <v>439.82280907892181</v>
      </c>
      <c r="H18" s="35">
        <v>267.75439659637294</v>
      </c>
      <c r="I18" s="35">
        <v>439.82280907892181</v>
      </c>
    </row>
    <row r="22" spans="1:9" ht="18">
      <c r="A22" s="33" t="s">
        <v>465</v>
      </c>
      <c r="B22" s="33"/>
      <c r="C22" s="33"/>
    </row>
    <row r="24" spans="1:9">
      <c r="A24" s="37" t="s">
        <v>466</v>
      </c>
      <c r="B24" s="37" t="s">
        <v>467</v>
      </c>
      <c r="C24" s="37" t="s">
        <v>468</v>
      </c>
    </row>
    <row r="25" spans="1:9">
      <c r="A25" s="35">
        <v>1</v>
      </c>
      <c r="B25" s="35">
        <v>913.17724574894521</v>
      </c>
      <c r="C25" s="35">
        <v>-163.20724574894518</v>
      </c>
    </row>
    <row r="26" spans="1:9">
      <c r="A26" s="35">
        <v>2</v>
      </c>
      <c r="B26" s="35">
        <v>913.17724574894521</v>
      </c>
      <c r="C26" s="35">
        <v>-733.20724574894518</v>
      </c>
    </row>
    <row r="27" spans="1:9">
      <c r="A27" s="35">
        <v>3</v>
      </c>
      <c r="B27" s="35">
        <v>913.17724574894521</v>
      </c>
      <c r="C27" s="35">
        <v>-733.20724574894518</v>
      </c>
    </row>
    <row r="28" spans="1:9">
      <c r="A28" s="35">
        <v>4</v>
      </c>
      <c r="B28" s="35">
        <v>1620.75445142424</v>
      </c>
      <c r="C28" s="35">
        <v>-870.80445142423991</v>
      </c>
    </row>
    <row r="29" spans="1:9">
      <c r="A29" s="35">
        <v>5</v>
      </c>
      <c r="B29" s="35">
        <v>559.38864291129789</v>
      </c>
      <c r="C29" s="35">
        <v>-439.40864291129787</v>
      </c>
    </row>
    <row r="30" spans="1:9">
      <c r="A30" s="35">
        <v>6</v>
      </c>
      <c r="B30" s="35">
        <v>1620.75445142424</v>
      </c>
      <c r="C30" s="35">
        <v>-870.80445142423991</v>
      </c>
    </row>
    <row r="31" spans="1:9">
      <c r="A31" s="35">
        <v>7</v>
      </c>
      <c r="B31" s="35">
        <v>913.17724574894521</v>
      </c>
      <c r="C31" s="35">
        <v>-733.20724574894518</v>
      </c>
    </row>
    <row r="32" spans="1:9">
      <c r="A32" s="35">
        <v>8</v>
      </c>
      <c r="B32" s="35">
        <v>913.17724574894521</v>
      </c>
      <c r="C32" s="35">
        <v>1786.7927542510547</v>
      </c>
    </row>
    <row r="33" spans="1:3">
      <c r="A33" s="35">
        <v>9</v>
      </c>
      <c r="B33" s="35">
        <v>913.17724574894521</v>
      </c>
      <c r="C33" s="35">
        <v>-733.20724574894518</v>
      </c>
    </row>
    <row r="34" spans="1:3">
      <c r="A34" s="35">
        <v>10</v>
      </c>
      <c r="B34" s="35">
        <v>205.60004007365052</v>
      </c>
      <c r="C34" s="35">
        <v>-55.610040073650509</v>
      </c>
    </row>
    <row r="35" spans="1:3">
      <c r="A35" s="35">
        <v>11</v>
      </c>
      <c r="B35" s="35">
        <v>1620.75445142424</v>
      </c>
      <c r="C35" s="35">
        <v>-870.80445142423991</v>
      </c>
    </row>
    <row r="36" spans="1:3">
      <c r="A36" s="35">
        <v>12</v>
      </c>
      <c r="B36" s="35">
        <v>913.17724574894521</v>
      </c>
      <c r="C36" s="35">
        <v>-463.20724574894518</v>
      </c>
    </row>
    <row r="37" spans="1:3">
      <c r="A37" s="35">
        <v>13</v>
      </c>
      <c r="B37" s="35">
        <v>913.17724574894521</v>
      </c>
      <c r="C37" s="35">
        <v>-733.20724574894518</v>
      </c>
    </row>
    <row r="38" spans="1:3">
      <c r="A38" s="35">
        <v>14</v>
      </c>
      <c r="B38" s="35">
        <v>913.17724574894521</v>
      </c>
      <c r="C38" s="35">
        <v>1186.7927542510547</v>
      </c>
    </row>
    <row r="39" spans="1:3">
      <c r="A39" s="35">
        <v>15</v>
      </c>
      <c r="B39" s="35">
        <v>205.60004007365052</v>
      </c>
      <c r="C39" s="35">
        <v>694.38995992634955</v>
      </c>
    </row>
    <row r="40" spans="1:3">
      <c r="A40" s="35">
        <v>16</v>
      </c>
      <c r="B40" s="35">
        <v>1266.9658485865925</v>
      </c>
      <c r="C40" s="35">
        <v>-667.00584858659249</v>
      </c>
    </row>
    <row r="41" spans="1:3">
      <c r="A41" s="35">
        <v>17</v>
      </c>
      <c r="B41" s="35">
        <v>559.38864291129789</v>
      </c>
      <c r="C41" s="35">
        <v>840.59135708870213</v>
      </c>
    </row>
    <row r="42" spans="1:3">
      <c r="A42" s="35">
        <v>18</v>
      </c>
      <c r="B42" s="35">
        <v>1266.9658485865925</v>
      </c>
      <c r="C42" s="35">
        <v>2332.9941514134075</v>
      </c>
    </row>
    <row r="43" spans="1:3">
      <c r="A43" s="35">
        <v>19</v>
      </c>
      <c r="B43" s="35">
        <v>913.17724574894521</v>
      </c>
      <c r="C43" s="35">
        <v>-163.20724574894518</v>
      </c>
    </row>
    <row r="44" spans="1:3">
      <c r="A44" s="35">
        <v>20</v>
      </c>
      <c r="B44" s="35">
        <v>1620.75445142424</v>
      </c>
      <c r="C44" s="35">
        <v>1879.1955485757599</v>
      </c>
    </row>
    <row r="45" spans="1:3">
      <c r="A45" s="35">
        <v>21</v>
      </c>
      <c r="B45" s="35">
        <v>1266.9658485865925</v>
      </c>
      <c r="C45" s="35">
        <v>1532.9941514134075</v>
      </c>
    </row>
    <row r="46" spans="1:3">
      <c r="A46" s="35">
        <v>22</v>
      </c>
      <c r="B46" s="35">
        <v>1266.9658485865925</v>
      </c>
      <c r="C46" s="35">
        <v>-267.00584858659249</v>
      </c>
    </row>
    <row r="47" spans="1:3">
      <c r="A47" s="35">
        <v>23</v>
      </c>
      <c r="B47" s="35">
        <v>1266.9658485865925</v>
      </c>
      <c r="C47" s="35">
        <v>-67.005848586592492</v>
      </c>
    </row>
    <row r="48" spans="1:3">
      <c r="A48" s="35">
        <v>24</v>
      </c>
      <c r="B48" s="35">
        <v>1620.75445142424</v>
      </c>
      <c r="C48" s="35">
        <v>-370.80445142423991</v>
      </c>
    </row>
    <row r="49" spans="1:3">
      <c r="A49" s="35">
        <v>25</v>
      </c>
      <c r="B49" s="35">
        <v>1620.75445142424</v>
      </c>
      <c r="C49" s="35">
        <v>-120.80445142423991</v>
      </c>
    </row>
    <row r="50" spans="1:3">
      <c r="A50" s="35">
        <v>26</v>
      </c>
      <c r="B50" s="35">
        <v>913.17724574894521</v>
      </c>
      <c r="C50" s="35">
        <v>-673.20724574894518</v>
      </c>
    </row>
    <row r="51" spans="1:3">
      <c r="A51" s="35">
        <v>27</v>
      </c>
      <c r="B51" s="35">
        <v>1620.75445142424</v>
      </c>
      <c r="C51" s="35">
        <v>-1170.8044514242399</v>
      </c>
    </row>
    <row r="52" spans="1:3">
      <c r="A52" s="35">
        <v>28</v>
      </c>
      <c r="B52" s="35">
        <v>559.38864291129789</v>
      </c>
      <c r="C52" s="35">
        <v>-439.40864291129787</v>
      </c>
    </row>
    <row r="53" spans="1:3">
      <c r="A53" s="35">
        <v>29</v>
      </c>
      <c r="B53" s="35">
        <v>1266.9658485865925</v>
      </c>
      <c r="C53" s="35">
        <v>-1027.0058485865925</v>
      </c>
    </row>
    <row r="54" spans="1:3">
      <c r="A54" s="35">
        <v>30</v>
      </c>
      <c r="B54" s="35">
        <v>1620.75445142424</v>
      </c>
      <c r="C54" s="35">
        <v>-620.80445142423991</v>
      </c>
    </row>
    <row r="55" spans="1:3">
      <c r="A55" s="35">
        <v>31</v>
      </c>
      <c r="B55" s="35">
        <v>559.38864291129789</v>
      </c>
      <c r="C55" s="35">
        <v>-259.40864291129787</v>
      </c>
    </row>
    <row r="56" spans="1:3">
      <c r="A56" s="35">
        <v>32</v>
      </c>
      <c r="B56" s="35">
        <v>913.17724574894521</v>
      </c>
      <c r="C56" s="35">
        <v>-463.20724574894518</v>
      </c>
    </row>
    <row r="57" spans="1:3">
      <c r="A57" s="35">
        <v>33</v>
      </c>
      <c r="B57" s="35">
        <v>205.60004007365052</v>
      </c>
      <c r="C57" s="35">
        <v>694.38995992634955</v>
      </c>
    </row>
    <row r="58" spans="1:3">
      <c r="A58" s="35">
        <v>34</v>
      </c>
      <c r="B58" s="35">
        <v>913.17724574894521</v>
      </c>
      <c r="C58" s="35">
        <v>-13.207245748945184</v>
      </c>
    </row>
    <row r="59" spans="1:3">
      <c r="A59" s="35">
        <v>35</v>
      </c>
      <c r="B59" s="35">
        <v>913.17724574894521</v>
      </c>
      <c r="C59" s="35">
        <v>-673.20724574894518</v>
      </c>
    </row>
    <row r="60" spans="1:3">
      <c r="A60" s="35">
        <v>36</v>
      </c>
      <c r="B60" s="35">
        <v>913.17724574894521</v>
      </c>
      <c r="C60" s="35">
        <v>-313.20724574894518</v>
      </c>
    </row>
    <row r="61" spans="1:3">
      <c r="A61" s="35">
        <v>37</v>
      </c>
      <c r="B61" s="35">
        <v>1620.75445142424</v>
      </c>
      <c r="C61" s="35">
        <v>1879.1955485757599</v>
      </c>
    </row>
    <row r="62" spans="1:3">
      <c r="A62" s="35">
        <v>38</v>
      </c>
      <c r="B62" s="35">
        <v>913.17724574894521</v>
      </c>
      <c r="C62" s="35">
        <v>-643.20724574894518</v>
      </c>
    </row>
    <row r="63" spans="1:3">
      <c r="A63" s="35">
        <v>39</v>
      </c>
      <c r="B63" s="35">
        <v>205.60004007365052</v>
      </c>
      <c r="C63" s="35">
        <v>-125.61004007365052</v>
      </c>
    </row>
    <row r="64" spans="1:3">
      <c r="A64" s="35">
        <v>40</v>
      </c>
      <c r="B64" s="35">
        <v>559.38864291129789</v>
      </c>
      <c r="C64" s="35">
        <v>-439.40864291129787</v>
      </c>
    </row>
    <row r="65" spans="1:3">
      <c r="A65" s="35">
        <v>41</v>
      </c>
      <c r="B65" s="35">
        <v>205.60004007365052</v>
      </c>
      <c r="C65" s="35">
        <v>-115.61004007365052</v>
      </c>
    </row>
    <row r="66" spans="1:3">
      <c r="A66" s="35">
        <v>42</v>
      </c>
      <c r="B66" s="35">
        <v>1620.75445142424</v>
      </c>
      <c r="C66" s="35">
        <v>-1170.8044514242399</v>
      </c>
    </row>
    <row r="67" spans="1:3">
      <c r="A67" s="35">
        <v>43</v>
      </c>
      <c r="B67" s="35">
        <v>1620.75445142424</v>
      </c>
      <c r="C67" s="35">
        <v>-370.80445142423991</v>
      </c>
    </row>
    <row r="68" spans="1:3">
      <c r="A68" s="35">
        <v>44</v>
      </c>
      <c r="B68" s="35">
        <v>205.60004007365052</v>
      </c>
      <c r="C68" s="35">
        <v>-115.61004007365052</v>
      </c>
    </row>
    <row r="69" spans="1:3">
      <c r="A69" s="35">
        <v>45</v>
      </c>
      <c r="B69" s="35">
        <v>559.38864291129789</v>
      </c>
      <c r="C69" s="35">
        <v>-259.40864291129787</v>
      </c>
    </row>
    <row r="70" spans="1:3">
      <c r="A70" s="35">
        <v>46</v>
      </c>
      <c r="B70" s="35">
        <v>1266.9658485865925</v>
      </c>
      <c r="C70" s="35">
        <v>-1027.0058485865925</v>
      </c>
    </row>
    <row r="71" spans="1:3">
      <c r="A71" s="35">
        <v>47</v>
      </c>
      <c r="B71" s="35">
        <v>1620.75445142424</v>
      </c>
      <c r="C71" s="35">
        <v>-1170.8044514242399</v>
      </c>
    </row>
    <row r="72" spans="1:3">
      <c r="A72" s="35">
        <v>48</v>
      </c>
      <c r="B72" s="35">
        <v>559.38864291129789</v>
      </c>
      <c r="C72" s="35">
        <v>-379.40864291129787</v>
      </c>
    </row>
    <row r="73" spans="1:3">
      <c r="A73" s="35">
        <v>49</v>
      </c>
      <c r="B73" s="35">
        <v>1620.75445142424</v>
      </c>
      <c r="C73" s="35">
        <v>2879.1955485757599</v>
      </c>
    </row>
    <row r="74" spans="1:3">
      <c r="A74" s="35">
        <v>50</v>
      </c>
      <c r="B74" s="35">
        <v>1620.75445142424</v>
      </c>
      <c r="C74" s="35">
        <v>2879.1955485757599</v>
      </c>
    </row>
    <row r="75" spans="1:3">
      <c r="A75" s="35">
        <v>51</v>
      </c>
      <c r="B75" s="35">
        <v>205.60004007365052</v>
      </c>
      <c r="C75" s="35">
        <v>-145.61004007365051</v>
      </c>
    </row>
    <row r="76" spans="1:3">
      <c r="A76" s="35">
        <v>52</v>
      </c>
      <c r="B76" s="35">
        <v>559.38864291129789</v>
      </c>
      <c r="C76" s="35">
        <v>40.591357088702125</v>
      </c>
    </row>
    <row r="77" spans="1:3">
      <c r="A77" s="35">
        <v>53</v>
      </c>
      <c r="B77" s="35">
        <v>1266.9658485865925</v>
      </c>
      <c r="C77" s="35">
        <v>-907.00584858659249</v>
      </c>
    </row>
    <row r="78" spans="1:3">
      <c r="A78" s="35">
        <v>54</v>
      </c>
      <c r="B78" s="35">
        <v>205.60004007365052</v>
      </c>
      <c r="C78" s="35">
        <v>-125.61004007365052</v>
      </c>
    </row>
    <row r="79" spans="1:3">
      <c r="A79" s="35">
        <v>55</v>
      </c>
      <c r="B79" s="35">
        <v>559.38864291129789</v>
      </c>
      <c r="C79" s="35">
        <v>-379.40864291129787</v>
      </c>
    </row>
    <row r="80" spans="1:3">
      <c r="A80" s="35">
        <v>56</v>
      </c>
      <c r="B80" s="35">
        <v>913.17724574894521</v>
      </c>
      <c r="C80" s="35">
        <v>1186.7927542510547</v>
      </c>
    </row>
    <row r="81" spans="1:3">
      <c r="A81" s="35">
        <v>57</v>
      </c>
      <c r="B81" s="35">
        <v>1266.9658485865925</v>
      </c>
      <c r="C81" s="35">
        <v>2332.9941514134075</v>
      </c>
    </row>
    <row r="82" spans="1:3">
      <c r="A82" s="35">
        <v>58</v>
      </c>
      <c r="B82" s="35">
        <v>205.60004007365052</v>
      </c>
      <c r="C82" s="35">
        <v>-55.610040073650509</v>
      </c>
    </row>
    <row r="83" spans="1:3">
      <c r="A83" s="35">
        <v>59</v>
      </c>
      <c r="B83" s="35">
        <v>559.38864291129789</v>
      </c>
      <c r="C83" s="35">
        <v>-379.40864291129787</v>
      </c>
    </row>
    <row r="84" spans="1:3">
      <c r="A84" s="35">
        <v>60</v>
      </c>
      <c r="B84" s="35">
        <v>205.60004007365052</v>
      </c>
      <c r="C84" s="35">
        <v>-115.61004007365052</v>
      </c>
    </row>
    <row r="85" spans="1:3">
      <c r="A85" s="35">
        <v>61</v>
      </c>
      <c r="B85" s="35">
        <v>205.60004007365052</v>
      </c>
      <c r="C85" s="35">
        <v>-115.61004007365052</v>
      </c>
    </row>
    <row r="86" spans="1:3">
      <c r="A86" s="35">
        <v>62</v>
      </c>
      <c r="B86" s="35">
        <v>1620.75445142424</v>
      </c>
      <c r="C86" s="35">
        <v>-1220.8044514242399</v>
      </c>
    </row>
    <row r="87" spans="1:3">
      <c r="A87" s="35">
        <v>63</v>
      </c>
      <c r="B87" s="35">
        <v>205.60004007365052</v>
      </c>
      <c r="C87" s="35">
        <v>-55.610040073650509</v>
      </c>
    </row>
    <row r="88" spans="1:3">
      <c r="A88" s="35">
        <v>64</v>
      </c>
      <c r="B88" s="35">
        <v>559.38864291129789</v>
      </c>
      <c r="C88" s="35">
        <v>840.59135708870213</v>
      </c>
    </row>
    <row r="89" spans="1:3">
      <c r="A89" s="35">
        <v>65</v>
      </c>
      <c r="B89" s="35">
        <v>1620.75445142424</v>
      </c>
      <c r="C89" s="35">
        <v>-1170.8044514242399</v>
      </c>
    </row>
    <row r="90" spans="1:3">
      <c r="A90" s="35">
        <v>66</v>
      </c>
      <c r="B90" s="35">
        <v>1266.9658485865925</v>
      </c>
      <c r="C90" s="35">
        <v>-1027.0058485865925</v>
      </c>
    </row>
    <row r="91" spans="1:3">
      <c r="A91" s="35">
        <v>67</v>
      </c>
      <c r="B91" s="35">
        <v>205.60004007365052</v>
      </c>
      <c r="C91" s="35">
        <v>-55.610040073650509</v>
      </c>
    </row>
    <row r="92" spans="1:3">
      <c r="A92" s="35">
        <v>68</v>
      </c>
      <c r="B92" s="35">
        <v>205.60004007365052</v>
      </c>
      <c r="C92" s="35">
        <v>94.389959926349491</v>
      </c>
    </row>
    <row r="93" spans="1:3">
      <c r="A93" s="35">
        <v>69</v>
      </c>
      <c r="B93" s="35">
        <v>559.38864291129789</v>
      </c>
      <c r="C93" s="35">
        <v>-159.40864291129787</v>
      </c>
    </row>
    <row r="94" spans="1:3">
      <c r="A94" s="35">
        <v>70</v>
      </c>
      <c r="B94" s="35">
        <v>913.17724574894521</v>
      </c>
      <c r="C94" s="35">
        <v>-733.20724574894518</v>
      </c>
    </row>
    <row r="95" spans="1:3">
      <c r="A95" s="35">
        <v>71</v>
      </c>
      <c r="B95" s="35">
        <v>913.17724574894521</v>
      </c>
      <c r="C95" s="35">
        <v>-463.20724574894518</v>
      </c>
    </row>
    <row r="96" spans="1:3">
      <c r="A96" s="35">
        <v>72</v>
      </c>
      <c r="B96" s="35">
        <v>913.17724574894521</v>
      </c>
      <c r="C96" s="35">
        <v>-313.20724574894518</v>
      </c>
    </row>
    <row r="97" spans="1:3">
      <c r="A97" s="35">
        <v>73</v>
      </c>
      <c r="B97" s="35">
        <v>205.60004007365052</v>
      </c>
      <c r="C97" s="35">
        <v>694.38995992634955</v>
      </c>
    </row>
    <row r="98" spans="1:3">
      <c r="A98" s="35">
        <v>74</v>
      </c>
      <c r="B98" s="35">
        <v>1620.75445142424</v>
      </c>
      <c r="C98" s="35">
        <v>2879.1955485757599</v>
      </c>
    </row>
    <row r="99" spans="1:3">
      <c r="A99" s="35">
        <v>75</v>
      </c>
      <c r="B99" s="35">
        <v>559.38864291129789</v>
      </c>
      <c r="C99" s="35">
        <v>-439.40864291129787</v>
      </c>
    </row>
    <row r="100" spans="1:3">
      <c r="A100" s="35">
        <v>76</v>
      </c>
      <c r="B100" s="35">
        <v>1266.9658485865925</v>
      </c>
      <c r="C100" s="35">
        <v>-267.00584858659249</v>
      </c>
    </row>
    <row r="101" spans="1:3">
      <c r="A101" s="35">
        <v>77</v>
      </c>
      <c r="B101" s="35">
        <v>559.38864291129789</v>
      </c>
      <c r="C101" s="35">
        <v>-59.408642911297875</v>
      </c>
    </row>
    <row r="102" spans="1:3">
      <c r="A102" s="35">
        <v>78</v>
      </c>
      <c r="B102" s="35">
        <v>205.60004007365052</v>
      </c>
      <c r="C102" s="35">
        <v>94.389959926349491</v>
      </c>
    </row>
    <row r="103" spans="1:3">
      <c r="A103" s="35">
        <v>79</v>
      </c>
      <c r="B103" s="35">
        <v>559.38864291129789</v>
      </c>
      <c r="C103" s="35">
        <v>-379.40864291129787</v>
      </c>
    </row>
    <row r="104" spans="1:3">
      <c r="A104" s="35">
        <v>80</v>
      </c>
      <c r="B104" s="35">
        <v>913.17724574894521</v>
      </c>
      <c r="C104" s="35">
        <v>-13.207245748945184</v>
      </c>
    </row>
    <row r="105" spans="1:3">
      <c r="A105" s="35">
        <v>81</v>
      </c>
      <c r="B105" s="35">
        <v>559.38864291129789</v>
      </c>
      <c r="C105" s="35">
        <v>840.59135708870213</v>
      </c>
    </row>
    <row r="106" spans="1:3">
      <c r="A106" s="35">
        <v>82</v>
      </c>
      <c r="B106" s="35">
        <v>1266.9658485865925</v>
      </c>
      <c r="C106" s="35">
        <v>2332.9941514134075</v>
      </c>
    </row>
    <row r="107" spans="1:3">
      <c r="A107" s="35">
        <v>83</v>
      </c>
      <c r="B107" s="35">
        <v>559.38864291129789</v>
      </c>
      <c r="C107" s="35">
        <v>-259.40864291129787</v>
      </c>
    </row>
    <row r="108" spans="1:3">
      <c r="A108" s="35">
        <v>84</v>
      </c>
      <c r="B108" s="35">
        <v>559.38864291129789</v>
      </c>
      <c r="C108" s="35">
        <v>-259.40864291129787</v>
      </c>
    </row>
    <row r="109" spans="1:3">
      <c r="A109" s="35">
        <v>85</v>
      </c>
      <c r="B109" s="35">
        <v>205.60004007365052</v>
      </c>
      <c r="C109" s="35">
        <v>-115.61004007365052</v>
      </c>
    </row>
    <row r="110" spans="1:3">
      <c r="A110" s="35">
        <v>86</v>
      </c>
      <c r="B110" s="35">
        <v>1620.75445142424</v>
      </c>
      <c r="C110" s="35">
        <v>-120.80445142423991</v>
      </c>
    </row>
    <row r="111" spans="1:3">
      <c r="A111" s="35">
        <v>87</v>
      </c>
      <c r="B111" s="35">
        <v>1266.9658485865925</v>
      </c>
      <c r="C111" s="35">
        <v>-667.00584858659249</v>
      </c>
    </row>
    <row r="112" spans="1:3">
      <c r="A112" s="35">
        <v>88</v>
      </c>
      <c r="B112" s="35">
        <v>1620.75445142424</v>
      </c>
      <c r="C112" s="35">
        <v>-370.80445142423991</v>
      </c>
    </row>
    <row r="113" spans="1:3">
      <c r="A113" s="35">
        <v>89</v>
      </c>
      <c r="B113" s="35">
        <v>913.17724574894521</v>
      </c>
      <c r="C113" s="35">
        <v>-163.20724574894518</v>
      </c>
    </row>
    <row r="114" spans="1:3">
      <c r="A114" s="35">
        <v>90</v>
      </c>
      <c r="B114" s="35">
        <v>1266.9658485865925</v>
      </c>
      <c r="C114" s="35">
        <v>-467.00584858659249</v>
      </c>
    </row>
    <row r="115" spans="1:3">
      <c r="A115" s="35">
        <v>91</v>
      </c>
      <c r="B115" s="35">
        <v>1620.75445142424</v>
      </c>
      <c r="C115" s="35">
        <v>-620.80445142423991</v>
      </c>
    </row>
    <row r="116" spans="1:3">
      <c r="A116" s="35">
        <v>92</v>
      </c>
      <c r="B116" s="35">
        <v>559.38864291129789</v>
      </c>
      <c r="C116" s="35">
        <v>-379.40864291129787</v>
      </c>
    </row>
    <row r="117" spans="1:3">
      <c r="A117" s="35">
        <v>93</v>
      </c>
      <c r="B117" s="35">
        <v>1620.75445142424</v>
      </c>
      <c r="C117" s="35">
        <v>2879.1955485757599</v>
      </c>
    </row>
    <row r="118" spans="1:3">
      <c r="A118" s="35">
        <v>94</v>
      </c>
      <c r="B118" s="35">
        <v>913.17724574894521</v>
      </c>
      <c r="C118" s="35">
        <v>-463.20724574894518</v>
      </c>
    </row>
    <row r="119" spans="1:3">
      <c r="A119" s="35">
        <v>95</v>
      </c>
      <c r="B119" s="35">
        <v>1620.75445142424</v>
      </c>
      <c r="C119" s="35">
        <v>-870.80445142423991</v>
      </c>
    </row>
    <row r="120" spans="1:3">
      <c r="A120" s="35">
        <v>96</v>
      </c>
      <c r="B120" s="35">
        <v>913.17724574894521</v>
      </c>
      <c r="C120" s="35">
        <v>-673.20724574894518</v>
      </c>
    </row>
    <row r="121" spans="1:3">
      <c r="A121" s="35">
        <v>97</v>
      </c>
      <c r="B121" s="35">
        <v>559.38864291129789</v>
      </c>
      <c r="C121" s="35">
        <v>-59.408642911297875</v>
      </c>
    </row>
    <row r="122" spans="1:3">
      <c r="A122" s="35">
        <v>98</v>
      </c>
      <c r="B122" s="35">
        <v>205.60004007365052</v>
      </c>
      <c r="C122" s="35">
        <v>494.38995992634949</v>
      </c>
    </row>
    <row r="123" spans="1:3">
      <c r="A123" s="35">
        <v>99</v>
      </c>
      <c r="B123" s="35">
        <v>913.17724574894521</v>
      </c>
      <c r="C123" s="35">
        <v>-463.20724574894518</v>
      </c>
    </row>
    <row r="124" spans="1:3">
      <c r="A124" s="35">
        <v>100</v>
      </c>
      <c r="B124" s="35">
        <v>559.38864291129789</v>
      </c>
      <c r="C124" s="35">
        <v>840.59135708870213</v>
      </c>
    </row>
    <row r="125" spans="1:3">
      <c r="A125" s="35">
        <v>101</v>
      </c>
      <c r="B125" s="35">
        <v>205.60004007365052</v>
      </c>
      <c r="C125" s="35">
        <v>44.389959926349491</v>
      </c>
    </row>
    <row r="126" spans="1:3">
      <c r="A126" s="35">
        <v>102</v>
      </c>
      <c r="B126" s="35">
        <v>205.60004007365052</v>
      </c>
      <c r="C126" s="35">
        <v>44.389959926349491</v>
      </c>
    </row>
    <row r="127" spans="1:3">
      <c r="A127" s="35">
        <v>103</v>
      </c>
      <c r="B127" s="35">
        <v>559.38864291129789</v>
      </c>
      <c r="C127" s="35">
        <v>840.59135708870213</v>
      </c>
    </row>
    <row r="128" spans="1:3">
      <c r="A128" s="35">
        <v>104</v>
      </c>
      <c r="B128" s="35">
        <v>913.17724574894521</v>
      </c>
      <c r="C128" s="35">
        <v>-733.20724574894518</v>
      </c>
    </row>
    <row r="129" spans="1:3">
      <c r="A129" s="35">
        <v>105</v>
      </c>
      <c r="B129" s="35">
        <v>913.17724574894521</v>
      </c>
      <c r="C129" s="35">
        <v>-733.20724574894518</v>
      </c>
    </row>
    <row r="130" spans="1:3">
      <c r="A130" s="35">
        <v>106</v>
      </c>
      <c r="B130" s="35">
        <v>1266.9658485865925</v>
      </c>
      <c r="C130" s="35">
        <v>-947.00584858659249</v>
      </c>
    </row>
    <row r="131" spans="1:3">
      <c r="A131" s="35">
        <v>107</v>
      </c>
      <c r="B131" s="35">
        <v>205.60004007365052</v>
      </c>
      <c r="C131" s="35">
        <v>-125.61004007365052</v>
      </c>
    </row>
    <row r="132" spans="1:3">
      <c r="A132" s="35">
        <v>108</v>
      </c>
      <c r="B132" s="35">
        <v>913.17724574894521</v>
      </c>
      <c r="C132" s="35">
        <v>-13.207245748945184</v>
      </c>
    </row>
    <row r="133" spans="1:3">
      <c r="A133" s="35">
        <v>109</v>
      </c>
      <c r="B133" s="35">
        <v>559.38864291129789</v>
      </c>
      <c r="C133" s="35">
        <v>-379.40864291129787</v>
      </c>
    </row>
    <row r="134" spans="1:3">
      <c r="A134" s="35">
        <v>110</v>
      </c>
      <c r="B134" s="35">
        <v>1266.9658485865925</v>
      </c>
      <c r="C134" s="35">
        <v>-667.00584858659249</v>
      </c>
    </row>
    <row r="135" spans="1:3">
      <c r="A135" s="35">
        <v>111</v>
      </c>
      <c r="B135" s="35">
        <v>559.38864291129789</v>
      </c>
      <c r="C135" s="35">
        <v>-59.408642911297875</v>
      </c>
    </row>
    <row r="136" spans="1:3">
      <c r="A136" s="35">
        <v>112</v>
      </c>
      <c r="B136" s="35">
        <v>1266.9658485865925</v>
      </c>
      <c r="C136" s="35">
        <v>-467.00584858659249</v>
      </c>
    </row>
    <row r="137" spans="1:3">
      <c r="A137" s="35">
        <v>113</v>
      </c>
      <c r="B137" s="35">
        <v>1620.75445142424</v>
      </c>
      <c r="C137" s="35">
        <v>-1170.8044514242399</v>
      </c>
    </row>
    <row r="138" spans="1:3">
      <c r="A138" s="35">
        <v>114</v>
      </c>
      <c r="B138" s="35">
        <v>205.60004007365052</v>
      </c>
      <c r="C138" s="35">
        <v>-55.610040073650509</v>
      </c>
    </row>
    <row r="139" spans="1:3">
      <c r="A139" s="35">
        <v>115</v>
      </c>
      <c r="B139" s="35">
        <v>1266.9658485865925</v>
      </c>
      <c r="C139" s="35">
        <v>1532.9941514134075</v>
      </c>
    </row>
    <row r="140" spans="1:3">
      <c r="A140" s="35">
        <v>116</v>
      </c>
      <c r="B140" s="35">
        <v>913.17724574894521</v>
      </c>
      <c r="C140" s="35">
        <v>1786.7927542510547</v>
      </c>
    </row>
    <row r="141" spans="1:3">
      <c r="A141" s="35">
        <v>117</v>
      </c>
      <c r="B141" s="35">
        <v>913.17724574894521</v>
      </c>
      <c r="C141" s="35">
        <v>-463.20724574894518</v>
      </c>
    </row>
    <row r="142" spans="1:3">
      <c r="A142" s="35">
        <v>118</v>
      </c>
      <c r="B142" s="35">
        <v>559.38864291129789</v>
      </c>
      <c r="C142" s="35">
        <v>40.591357088702125</v>
      </c>
    </row>
    <row r="143" spans="1:3">
      <c r="A143" s="35">
        <v>119</v>
      </c>
      <c r="B143" s="35">
        <v>205.60004007365052</v>
      </c>
      <c r="C143" s="35">
        <v>-5.6100400736505094</v>
      </c>
    </row>
    <row r="144" spans="1:3">
      <c r="A144" s="35">
        <v>120</v>
      </c>
      <c r="B144" s="35">
        <v>1266.9658485865925</v>
      </c>
      <c r="C144" s="35">
        <v>-67.005848586592492</v>
      </c>
    </row>
    <row r="145" spans="1:3">
      <c r="A145" s="35">
        <v>121</v>
      </c>
      <c r="B145" s="35">
        <v>559.38864291129789</v>
      </c>
      <c r="C145" s="35">
        <v>-439.40864291129787</v>
      </c>
    </row>
    <row r="146" spans="1:3">
      <c r="A146" s="35">
        <v>122</v>
      </c>
      <c r="B146" s="35">
        <v>1266.9658485865925</v>
      </c>
      <c r="C146" s="35">
        <v>-667.00584858659249</v>
      </c>
    </row>
    <row r="147" spans="1:3">
      <c r="A147" s="35">
        <v>123</v>
      </c>
      <c r="B147" s="35">
        <v>559.38864291129789</v>
      </c>
      <c r="C147" s="35">
        <v>840.59135708870213</v>
      </c>
    </row>
    <row r="148" spans="1:3">
      <c r="A148" s="35">
        <v>124</v>
      </c>
      <c r="B148" s="35">
        <v>913.17724574894521</v>
      </c>
      <c r="C148" s="35">
        <v>-463.20724574894518</v>
      </c>
    </row>
    <row r="149" spans="1:3">
      <c r="A149" s="35">
        <v>125</v>
      </c>
      <c r="B149" s="35">
        <v>913.17724574894521</v>
      </c>
      <c r="C149" s="35">
        <v>-13.207245748945184</v>
      </c>
    </row>
    <row r="150" spans="1:3">
      <c r="A150" s="35">
        <v>126</v>
      </c>
      <c r="B150" s="35">
        <v>913.17724574894521</v>
      </c>
      <c r="C150" s="35">
        <v>1786.7927542510547</v>
      </c>
    </row>
    <row r="151" spans="1:3">
      <c r="A151" s="35">
        <v>127</v>
      </c>
      <c r="B151" s="35">
        <v>1620.75445142424</v>
      </c>
      <c r="C151" s="35">
        <v>1879.1955485757599</v>
      </c>
    </row>
    <row r="152" spans="1:3">
      <c r="A152" s="35">
        <v>128</v>
      </c>
      <c r="B152" s="35">
        <v>1266.9658485865925</v>
      </c>
      <c r="C152" s="35">
        <v>1532.9941514134075</v>
      </c>
    </row>
    <row r="153" spans="1:3">
      <c r="A153" s="35">
        <v>129</v>
      </c>
      <c r="B153" s="35">
        <v>205.60004007365052</v>
      </c>
      <c r="C153" s="35">
        <v>694.38995992634955</v>
      </c>
    </row>
    <row r="154" spans="1:3">
      <c r="A154" s="35">
        <v>130</v>
      </c>
      <c r="B154" s="35">
        <v>559.38864291129789</v>
      </c>
      <c r="C154" s="35">
        <v>-259.40864291129787</v>
      </c>
    </row>
    <row r="155" spans="1:3">
      <c r="A155" s="35">
        <v>131</v>
      </c>
      <c r="B155" s="35">
        <v>913.17724574894521</v>
      </c>
      <c r="C155" s="35">
        <v>-643.20724574894518</v>
      </c>
    </row>
    <row r="156" spans="1:3">
      <c r="A156" s="35">
        <v>132</v>
      </c>
      <c r="B156" s="35">
        <v>559.38864291129789</v>
      </c>
      <c r="C156" s="35">
        <v>-259.40864291129787</v>
      </c>
    </row>
    <row r="157" spans="1:3">
      <c r="A157" s="35">
        <v>133</v>
      </c>
      <c r="B157" s="35">
        <v>559.38864291129789</v>
      </c>
      <c r="C157" s="35">
        <v>840.59135708870213</v>
      </c>
    </row>
    <row r="158" spans="1:3">
      <c r="A158" s="35">
        <v>134</v>
      </c>
      <c r="B158" s="35">
        <v>1620.75445142424</v>
      </c>
      <c r="C158" s="35">
        <v>1879.1955485757599</v>
      </c>
    </row>
    <row r="159" spans="1:3">
      <c r="A159" s="35">
        <v>135</v>
      </c>
      <c r="B159" s="35">
        <v>913.17724574894521</v>
      </c>
      <c r="C159" s="35">
        <v>-643.20724574894518</v>
      </c>
    </row>
    <row r="160" spans="1:3">
      <c r="A160" s="35">
        <v>136</v>
      </c>
      <c r="B160" s="35">
        <v>1620.75445142424</v>
      </c>
      <c r="C160" s="35">
        <v>-370.80445142423991</v>
      </c>
    </row>
    <row r="161" spans="1:3">
      <c r="A161" s="35">
        <v>137</v>
      </c>
      <c r="B161" s="35">
        <v>913.17724574894521</v>
      </c>
      <c r="C161" s="35">
        <v>-13.207245748945184</v>
      </c>
    </row>
    <row r="162" spans="1:3">
      <c r="A162" s="35">
        <v>138</v>
      </c>
      <c r="B162" s="35">
        <v>913.17724574894521</v>
      </c>
      <c r="C162" s="35">
        <v>-643.20724574894518</v>
      </c>
    </row>
    <row r="163" spans="1:3">
      <c r="A163" s="35">
        <v>139</v>
      </c>
      <c r="B163" s="35">
        <v>559.38864291129789</v>
      </c>
      <c r="C163" s="35">
        <v>-259.40864291129787</v>
      </c>
    </row>
    <row r="164" spans="1:3">
      <c r="A164" s="35">
        <v>140</v>
      </c>
      <c r="B164" s="35">
        <v>205.60004007365052</v>
      </c>
      <c r="C164" s="35">
        <v>44.389959926349491</v>
      </c>
    </row>
    <row r="165" spans="1:3">
      <c r="A165" s="35">
        <v>141</v>
      </c>
      <c r="B165" s="35">
        <v>913.17724574894521</v>
      </c>
      <c r="C165" s="35">
        <v>-463.20724574894518</v>
      </c>
    </row>
    <row r="166" spans="1:3">
      <c r="A166" s="35">
        <v>142</v>
      </c>
      <c r="B166" s="35">
        <v>1620.75445142424</v>
      </c>
      <c r="C166" s="35">
        <v>-1320.8044514242399</v>
      </c>
    </row>
    <row r="167" spans="1:3">
      <c r="A167" s="35">
        <v>143</v>
      </c>
      <c r="B167" s="35">
        <v>1266.9658485865925</v>
      </c>
      <c r="C167" s="35">
        <v>-267.00584858659249</v>
      </c>
    </row>
    <row r="168" spans="1:3">
      <c r="A168" s="35">
        <v>144</v>
      </c>
      <c r="B168" s="35">
        <v>1620.75445142424</v>
      </c>
      <c r="C168" s="35">
        <v>-870.80445142423991</v>
      </c>
    </row>
    <row r="169" spans="1:3">
      <c r="A169" s="35">
        <v>145</v>
      </c>
      <c r="B169" s="35">
        <v>913.17724574894521</v>
      </c>
      <c r="C169" s="35">
        <v>-733.20724574894518</v>
      </c>
    </row>
    <row r="170" spans="1:3">
      <c r="A170" s="35">
        <v>146</v>
      </c>
      <c r="B170" s="35">
        <v>1620.75445142424</v>
      </c>
      <c r="C170" s="35">
        <v>-870.80445142423991</v>
      </c>
    </row>
    <row r="171" spans="1:3">
      <c r="A171" s="35">
        <v>147</v>
      </c>
      <c r="B171" s="35">
        <v>559.38864291129789</v>
      </c>
      <c r="C171" s="35">
        <v>840.59135708870213</v>
      </c>
    </row>
    <row r="172" spans="1:3">
      <c r="A172" s="35">
        <v>148</v>
      </c>
      <c r="B172" s="35">
        <v>1266.9658485865925</v>
      </c>
      <c r="C172" s="35">
        <v>-467.00584858659249</v>
      </c>
    </row>
    <row r="173" spans="1:3">
      <c r="A173" s="35">
        <v>149</v>
      </c>
      <c r="B173" s="35">
        <v>205.60004007365052</v>
      </c>
      <c r="C173" s="35">
        <v>-145.61004007365051</v>
      </c>
    </row>
    <row r="174" spans="1:3">
      <c r="A174" s="35">
        <v>150</v>
      </c>
      <c r="B174" s="35">
        <v>913.17724574894521</v>
      </c>
      <c r="C174" s="35">
        <v>1186.7927542510547</v>
      </c>
    </row>
    <row r="175" spans="1:3">
      <c r="A175" s="35">
        <v>151</v>
      </c>
      <c r="B175" s="35">
        <v>1620.75445142424</v>
      </c>
      <c r="C175" s="35">
        <v>-370.80445142423991</v>
      </c>
    </row>
    <row r="176" spans="1:3">
      <c r="A176" s="35">
        <v>152</v>
      </c>
      <c r="B176" s="35">
        <v>559.38864291129789</v>
      </c>
      <c r="C176" s="35">
        <v>-259.40864291129787</v>
      </c>
    </row>
    <row r="177" spans="1:3">
      <c r="A177" s="35">
        <v>153</v>
      </c>
      <c r="B177" s="35">
        <v>913.17724574894521</v>
      </c>
      <c r="C177" s="35">
        <v>-13.207245748945184</v>
      </c>
    </row>
    <row r="178" spans="1:3">
      <c r="A178" s="35">
        <v>154</v>
      </c>
      <c r="B178" s="35">
        <v>1620.75445142424</v>
      </c>
      <c r="C178" s="35">
        <v>-370.80445142423991</v>
      </c>
    </row>
    <row r="179" spans="1:3">
      <c r="A179" s="35">
        <v>155</v>
      </c>
      <c r="B179" s="35">
        <v>559.38864291129789</v>
      </c>
      <c r="C179" s="35">
        <v>-259.40864291129787</v>
      </c>
    </row>
    <row r="180" spans="1:3">
      <c r="A180" s="35">
        <v>156</v>
      </c>
      <c r="B180" s="35">
        <v>1620.75445142424</v>
      </c>
      <c r="C180" s="35">
        <v>1879.1955485757599</v>
      </c>
    </row>
    <row r="181" spans="1:3">
      <c r="A181" s="35">
        <v>157</v>
      </c>
      <c r="B181" s="35">
        <v>1266.9658485865925</v>
      </c>
      <c r="C181" s="35">
        <v>-267.00584858659249</v>
      </c>
    </row>
    <row r="182" spans="1:3">
      <c r="A182" s="35">
        <v>158</v>
      </c>
      <c r="B182" s="35">
        <v>1266.9658485865925</v>
      </c>
      <c r="C182" s="35">
        <v>1532.9941514134075</v>
      </c>
    </row>
    <row r="183" spans="1:3">
      <c r="A183" s="35">
        <v>159</v>
      </c>
      <c r="B183" s="35">
        <v>559.38864291129789</v>
      </c>
      <c r="C183" s="35">
        <v>-59.408642911297875</v>
      </c>
    </row>
    <row r="184" spans="1:3">
      <c r="A184" s="35">
        <v>160</v>
      </c>
      <c r="B184" s="35">
        <v>913.17724574894521</v>
      </c>
      <c r="C184" s="35">
        <v>-733.20724574894518</v>
      </c>
    </row>
    <row r="185" spans="1:3">
      <c r="A185" s="35">
        <v>161</v>
      </c>
      <c r="B185" s="35">
        <v>1266.9658485865925</v>
      </c>
      <c r="C185" s="35">
        <v>-947.00584858659249</v>
      </c>
    </row>
    <row r="186" spans="1:3">
      <c r="A186" s="35">
        <v>162</v>
      </c>
      <c r="B186" s="35">
        <v>913.17724574894521</v>
      </c>
      <c r="C186" s="35">
        <v>-673.20724574894518</v>
      </c>
    </row>
    <row r="187" spans="1:3">
      <c r="A187" s="35">
        <v>163</v>
      </c>
      <c r="B187" s="35">
        <v>559.38864291129789</v>
      </c>
      <c r="C187" s="35">
        <v>1240.5913570887021</v>
      </c>
    </row>
    <row r="188" spans="1:3">
      <c r="A188" s="35">
        <v>164</v>
      </c>
      <c r="B188" s="35">
        <v>205.60004007365052</v>
      </c>
      <c r="C188" s="35">
        <v>-55.610040073650509</v>
      </c>
    </row>
    <row r="189" spans="1:3">
      <c r="A189" s="35">
        <v>165</v>
      </c>
      <c r="B189" s="35">
        <v>559.38864291129789</v>
      </c>
      <c r="C189" s="35">
        <v>40.591357088702125</v>
      </c>
    </row>
    <row r="190" spans="1:3">
      <c r="A190" s="35">
        <v>166</v>
      </c>
      <c r="B190" s="35">
        <v>559.38864291129789</v>
      </c>
      <c r="C190" s="35">
        <v>-439.40864291129787</v>
      </c>
    </row>
    <row r="191" spans="1:3">
      <c r="A191" s="35">
        <v>167</v>
      </c>
      <c r="B191" s="35">
        <v>205.60004007365052</v>
      </c>
      <c r="C191" s="35">
        <v>-115.61004007365052</v>
      </c>
    </row>
    <row r="192" spans="1:3">
      <c r="A192" s="35">
        <v>168</v>
      </c>
      <c r="B192" s="35">
        <v>1620.75445142424</v>
      </c>
      <c r="C192" s="35">
        <v>2879.1955485757599</v>
      </c>
    </row>
    <row r="193" spans="1:3">
      <c r="A193" s="35">
        <v>169</v>
      </c>
      <c r="B193" s="35">
        <v>559.38864291129789</v>
      </c>
      <c r="C193" s="35">
        <v>-259.40864291129787</v>
      </c>
    </row>
    <row r="194" spans="1:3">
      <c r="A194" s="35">
        <v>170</v>
      </c>
      <c r="B194" s="35">
        <v>559.38864291129789</v>
      </c>
      <c r="C194" s="35">
        <v>-259.40864291129787</v>
      </c>
    </row>
    <row r="195" spans="1:3">
      <c r="A195" s="35">
        <v>171</v>
      </c>
      <c r="B195" s="35">
        <v>913.17724574894521</v>
      </c>
      <c r="C195" s="35">
        <v>-463.20724574894518</v>
      </c>
    </row>
    <row r="196" spans="1:3">
      <c r="A196" s="35">
        <v>172</v>
      </c>
      <c r="B196" s="35">
        <v>559.38864291129789</v>
      </c>
      <c r="C196" s="35">
        <v>40.591357088702125</v>
      </c>
    </row>
    <row r="197" spans="1:3">
      <c r="A197" s="35">
        <v>173</v>
      </c>
      <c r="B197" s="35">
        <v>559.38864291129789</v>
      </c>
      <c r="C197" s="35">
        <v>40.591357088702125</v>
      </c>
    </row>
    <row r="198" spans="1:3">
      <c r="A198" s="35">
        <v>174</v>
      </c>
      <c r="B198" s="35">
        <v>1266.9658485865925</v>
      </c>
      <c r="C198" s="35">
        <v>-467.00584858659249</v>
      </c>
    </row>
    <row r="199" spans="1:3">
      <c r="A199" s="35">
        <v>175</v>
      </c>
      <c r="B199" s="35">
        <v>205.60004007365052</v>
      </c>
      <c r="C199" s="35">
        <v>-115.61004007365052</v>
      </c>
    </row>
    <row r="200" spans="1:3">
      <c r="A200" s="35">
        <v>176</v>
      </c>
      <c r="B200" s="35">
        <v>1620.75445142424</v>
      </c>
      <c r="C200" s="35">
        <v>-870.80445142423991</v>
      </c>
    </row>
    <row r="201" spans="1:3">
      <c r="A201" s="35">
        <v>177</v>
      </c>
      <c r="B201" s="35">
        <v>205.60004007365052</v>
      </c>
      <c r="C201" s="35">
        <v>694.38995992634955</v>
      </c>
    </row>
    <row r="202" spans="1:3">
      <c r="A202" s="35">
        <v>178</v>
      </c>
      <c r="B202" s="35">
        <v>559.38864291129789</v>
      </c>
      <c r="C202" s="35">
        <v>-379.40864291129787</v>
      </c>
    </row>
    <row r="203" spans="1:3">
      <c r="A203" s="35">
        <v>179</v>
      </c>
      <c r="B203" s="35">
        <v>205.60004007365052</v>
      </c>
      <c r="C203" s="35">
        <v>694.38995992634955</v>
      </c>
    </row>
    <row r="204" spans="1:3">
      <c r="A204" s="35">
        <v>180</v>
      </c>
      <c r="B204" s="35">
        <v>1620.75445142424</v>
      </c>
      <c r="C204" s="35">
        <v>-870.80445142423991</v>
      </c>
    </row>
    <row r="205" spans="1:3">
      <c r="A205" s="35">
        <v>181</v>
      </c>
      <c r="B205" s="35">
        <v>913.17724574894521</v>
      </c>
      <c r="C205" s="35">
        <v>-13.207245748945184</v>
      </c>
    </row>
    <row r="206" spans="1:3">
      <c r="A206" s="35">
        <v>182</v>
      </c>
      <c r="B206" s="35">
        <v>913.17724574894521</v>
      </c>
      <c r="C206" s="35">
        <v>1186.7927542510547</v>
      </c>
    </row>
    <row r="207" spans="1:3">
      <c r="A207" s="35">
        <v>183</v>
      </c>
      <c r="B207" s="35">
        <v>1620.75445142424</v>
      </c>
      <c r="C207" s="35">
        <v>-620.80445142423991</v>
      </c>
    </row>
    <row r="208" spans="1:3">
      <c r="A208" s="35">
        <v>184</v>
      </c>
      <c r="B208" s="35">
        <v>1620.75445142424</v>
      </c>
      <c r="C208" s="35">
        <v>-370.80445142423991</v>
      </c>
    </row>
    <row r="209" spans="1:3">
      <c r="A209" s="35">
        <v>185</v>
      </c>
      <c r="B209" s="35">
        <v>1266.9658485865925</v>
      </c>
      <c r="C209" s="35">
        <v>-667.00584858659249</v>
      </c>
    </row>
    <row r="210" spans="1:3">
      <c r="A210" s="35">
        <v>186</v>
      </c>
      <c r="B210" s="35">
        <v>913.17724574894521</v>
      </c>
      <c r="C210" s="35">
        <v>1186.7927542510547</v>
      </c>
    </row>
    <row r="211" spans="1:3">
      <c r="A211" s="35">
        <v>187</v>
      </c>
      <c r="B211" s="35">
        <v>205.60004007365052</v>
      </c>
      <c r="C211" s="35">
        <v>-125.61004007365052</v>
      </c>
    </row>
    <row r="212" spans="1:3">
      <c r="A212" s="35">
        <v>188</v>
      </c>
      <c r="B212" s="35">
        <v>205.60004007365052</v>
      </c>
      <c r="C212" s="35">
        <v>94.389959926349491</v>
      </c>
    </row>
    <row r="213" spans="1:3">
      <c r="A213" s="35">
        <v>189</v>
      </c>
      <c r="B213" s="35">
        <v>1266.9658485865925</v>
      </c>
      <c r="C213" s="35">
        <v>-267.00584858659249</v>
      </c>
    </row>
    <row r="214" spans="1:3">
      <c r="A214" s="35">
        <v>190</v>
      </c>
      <c r="B214" s="35">
        <v>559.38864291129789</v>
      </c>
      <c r="C214" s="35">
        <v>-259.40864291129787</v>
      </c>
    </row>
    <row r="215" spans="1:3">
      <c r="A215" s="35">
        <v>191</v>
      </c>
      <c r="B215" s="35">
        <v>913.17724574894521</v>
      </c>
      <c r="C215" s="35">
        <v>-13.207245748945184</v>
      </c>
    </row>
    <row r="216" spans="1:3">
      <c r="A216" s="35">
        <v>192</v>
      </c>
      <c r="B216" s="35">
        <v>1266.9658485865925</v>
      </c>
      <c r="C216" s="35">
        <v>-467.00584858659249</v>
      </c>
    </row>
    <row r="217" spans="1:3">
      <c r="A217" s="35">
        <v>193</v>
      </c>
      <c r="B217" s="35">
        <v>1620.75445142424</v>
      </c>
      <c r="C217" s="35">
        <v>-120.80445142423991</v>
      </c>
    </row>
    <row r="218" spans="1:3">
      <c r="A218" s="35">
        <v>194</v>
      </c>
      <c r="B218" s="35">
        <v>913.17724574894521</v>
      </c>
      <c r="C218" s="35">
        <v>-463.20724574894518</v>
      </c>
    </row>
    <row r="219" spans="1:3">
      <c r="A219" s="35">
        <v>195</v>
      </c>
      <c r="B219" s="35">
        <v>1620.75445142424</v>
      </c>
      <c r="C219" s="35">
        <v>-1320.8044514242399</v>
      </c>
    </row>
    <row r="220" spans="1:3">
      <c r="A220" s="35">
        <v>196</v>
      </c>
      <c r="B220" s="35">
        <v>1266.9658485865925</v>
      </c>
      <c r="C220" s="35">
        <v>-1027.0058485865925</v>
      </c>
    </row>
    <row r="221" spans="1:3">
      <c r="A221" s="35">
        <v>197</v>
      </c>
      <c r="B221" s="35">
        <v>1266.9658485865925</v>
      </c>
      <c r="C221" s="35">
        <v>-267.00584858659249</v>
      </c>
    </row>
    <row r="222" spans="1:3">
      <c r="A222" s="35">
        <v>198</v>
      </c>
      <c r="B222" s="35">
        <v>1266.9658485865925</v>
      </c>
      <c r="C222" s="35">
        <v>2332.9941514134075</v>
      </c>
    </row>
    <row r="223" spans="1:3">
      <c r="A223" s="35">
        <v>199</v>
      </c>
      <c r="B223" s="35">
        <v>913.17724574894521</v>
      </c>
      <c r="C223" s="35">
        <v>-13.207245748945184</v>
      </c>
    </row>
    <row r="224" spans="1:3">
      <c r="A224" s="35">
        <v>200</v>
      </c>
      <c r="B224" s="35">
        <v>559.38864291129789</v>
      </c>
      <c r="C224" s="35">
        <v>840.59135708870213</v>
      </c>
    </row>
    <row r="225" spans="1:3">
      <c r="A225" s="35">
        <v>201</v>
      </c>
      <c r="B225" s="35">
        <v>1266.9658485865925</v>
      </c>
      <c r="C225" s="35">
        <v>1532.9941514134075</v>
      </c>
    </row>
    <row r="226" spans="1:3">
      <c r="A226" s="35">
        <v>202</v>
      </c>
      <c r="B226" s="35">
        <v>559.38864291129789</v>
      </c>
      <c r="C226" s="35">
        <v>-379.40864291129787</v>
      </c>
    </row>
    <row r="227" spans="1:3">
      <c r="A227" s="35">
        <v>203</v>
      </c>
      <c r="B227" s="35">
        <v>913.17724574894521</v>
      </c>
      <c r="C227" s="35">
        <v>-643.20724574894518</v>
      </c>
    </row>
    <row r="228" spans="1:3">
      <c r="A228" s="35">
        <v>204</v>
      </c>
      <c r="B228" s="35">
        <v>205.60004007365052</v>
      </c>
      <c r="C228" s="35">
        <v>-145.61004007365051</v>
      </c>
    </row>
    <row r="229" spans="1:3">
      <c r="A229" s="35">
        <v>205</v>
      </c>
      <c r="B229" s="35">
        <v>913.17724574894521</v>
      </c>
      <c r="C229" s="35">
        <v>-463.20724574894518</v>
      </c>
    </row>
    <row r="230" spans="1:3">
      <c r="A230" s="35">
        <v>206</v>
      </c>
      <c r="B230" s="35">
        <v>1620.75445142424</v>
      </c>
      <c r="C230" s="35">
        <v>-120.80445142423991</v>
      </c>
    </row>
    <row r="231" spans="1:3">
      <c r="A231" s="35">
        <v>207</v>
      </c>
      <c r="B231" s="35">
        <v>1620.75445142424</v>
      </c>
      <c r="C231" s="35">
        <v>-1320.8044514242399</v>
      </c>
    </row>
    <row r="232" spans="1:3">
      <c r="A232" s="35">
        <v>208</v>
      </c>
      <c r="B232" s="35">
        <v>913.17724574894521</v>
      </c>
      <c r="C232" s="35">
        <v>-673.20724574894518</v>
      </c>
    </row>
    <row r="233" spans="1:3">
      <c r="A233" s="35">
        <v>209</v>
      </c>
      <c r="B233" s="35">
        <v>913.17724574894521</v>
      </c>
      <c r="C233" s="35">
        <v>-313.20724574894518</v>
      </c>
    </row>
    <row r="234" spans="1:3">
      <c r="A234" s="35">
        <v>210</v>
      </c>
      <c r="B234" s="35">
        <v>559.38864291129789</v>
      </c>
      <c r="C234" s="35">
        <v>-379.40864291129787</v>
      </c>
    </row>
    <row r="235" spans="1:3">
      <c r="A235" s="35">
        <v>211</v>
      </c>
      <c r="B235" s="35">
        <v>559.38864291129789</v>
      </c>
      <c r="C235" s="35">
        <v>-259.40864291129787</v>
      </c>
    </row>
    <row r="236" spans="1:3">
      <c r="A236" s="35">
        <v>212</v>
      </c>
      <c r="B236" s="35">
        <v>1620.75445142424</v>
      </c>
      <c r="C236" s="35">
        <v>1879.1955485757599</v>
      </c>
    </row>
    <row r="237" spans="1:3">
      <c r="A237" s="35">
        <v>213</v>
      </c>
      <c r="B237" s="35">
        <v>913.17724574894521</v>
      </c>
      <c r="C237" s="35">
        <v>-463.20724574894518</v>
      </c>
    </row>
    <row r="238" spans="1:3">
      <c r="A238" s="35">
        <v>214</v>
      </c>
      <c r="B238" s="35">
        <v>913.17724574894521</v>
      </c>
      <c r="C238" s="35">
        <v>1786.7927542510547</v>
      </c>
    </row>
    <row r="239" spans="1:3">
      <c r="A239" s="35">
        <v>215</v>
      </c>
      <c r="B239" s="35">
        <v>913.17724574894521</v>
      </c>
      <c r="C239" s="35">
        <v>-313.20724574894518</v>
      </c>
    </row>
    <row r="240" spans="1:3">
      <c r="A240" s="35">
        <v>216</v>
      </c>
      <c r="B240" s="35">
        <v>1620.75445142424</v>
      </c>
      <c r="C240" s="35">
        <v>-120.80445142423991</v>
      </c>
    </row>
    <row r="241" spans="1:3">
      <c r="A241" s="35">
        <v>217</v>
      </c>
      <c r="B241" s="35">
        <v>205.60004007365052</v>
      </c>
      <c r="C241" s="35">
        <v>494.38995992634949</v>
      </c>
    </row>
    <row r="242" spans="1:3">
      <c r="A242" s="35">
        <v>218</v>
      </c>
      <c r="B242" s="35">
        <v>205.60004007365052</v>
      </c>
      <c r="C242" s="35">
        <v>494.38995992634949</v>
      </c>
    </row>
    <row r="243" spans="1:3">
      <c r="A243" s="35">
        <v>219</v>
      </c>
      <c r="B243" s="35">
        <v>1266.9658485865925</v>
      </c>
      <c r="C243" s="35">
        <v>-667.00584858659249</v>
      </c>
    </row>
    <row r="244" spans="1:3">
      <c r="A244" s="35">
        <v>220</v>
      </c>
      <c r="B244" s="35">
        <v>1620.75445142424</v>
      </c>
      <c r="C244" s="35">
        <v>-1170.8044514242399</v>
      </c>
    </row>
    <row r="245" spans="1:3">
      <c r="A245" s="35">
        <v>221</v>
      </c>
      <c r="B245" s="35">
        <v>559.38864291129789</v>
      </c>
      <c r="C245" s="35">
        <v>-159.40864291129787</v>
      </c>
    </row>
    <row r="246" spans="1:3">
      <c r="A246" s="35">
        <v>222</v>
      </c>
      <c r="B246" s="35">
        <v>1266.9658485865925</v>
      </c>
      <c r="C246" s="35">
        <v>-1027.0058485865925</v>
      </c>
    </row>
    <row r="247" spans="1:3">
      <c r="A247" s="35">
        <v>223</v>
      </c>
      <c r="B247" s="35">
        <v>559.38864291129789</v>
      </c>
      <c r="C247" s="35">
        <v>40.591357088702125</v>
      </c>
    </row>
    <row r="248" spans="1:3">
      <c r="A248" s="35">
        <v>224</v>
      </c>
      <c r="B248" s="35">
        <v>559.38864291129789</v>
      </c>
      <c r="C248" s="35">
        <v>-259.40864291129787</v>
      </c>
    </row>
    <row r="249" spans="1:3">
      <c r="A249" s="35">
        <v>225</v>
      </c>
      <c r="B249" s="35">
        <v>1620.75445142424</v>
      </c>
      <c r="C249" s="35">
        <v>1879.1955485757599</v>
      </c>
    </row>
    <row r="250" spans="1:3">
      <c r="A250" s="35">
        <v>226</v>
      </c>
      <c r="B250" s="35">
        <v>1620.75445142424</v>
      </c>
      <c r="C250" s="35">
        <v>-1320.8044514242399</v>
      </c>
    </row>
    <row r="251" spans="1:3">
      <c r="A251" s="35">
        <v>227</v>
      </c>
      <c r="B251" s="35">
        <v>559.38864291129789</v>
      </c>
      <c r="C251" s="35">
        <v>-379.40864291129787</v>
      </c>
    </row>
    <row r="252" spans="1:3">
      <c r="A252" s="35">
        <v>228</v>
      </c>
      <c r="B252" s="35">
        <v>1620.75445142424</v>
      </c>
      <c r="C252" s="35">
        <v>-370.80445142423991</v>
      </c>
    </row>
    <row r="253" spans="1:3">
      <c r="A253" s="35">
        <v>229</v>
      </c>
      <c r="B253" s="35">
        <v>559.38864291129789</v>
      </c>
      <c r="C253" s="35">
        <v>-259.40864291129787</v>
      </c>
    </row>
    <row r="254" spans="1:3">
      <c r="A254" s="35">
        <v>230</v>
      </c>
      <c r="B254" s="35">
        <v>1620.75445142424</v>
      </c>
      <c r="C254" s="35">
        <v>2879.1955485757599</v>
      </c>
    </row>
    <row r="255" spans="1:3">
      <c r="A255" s="35">
        <v>231</v>
      </c>
      <c r="B255" s="35">
        <v>1266.9658485865925</v>
      </c>
      <c r="C255" s="35">
        <v>-667.00584858659249</v>
      </c>
    </row>
    <row r="256" spans="1:3">
      <c r="A256" s="35">
        <v>232</v>
      </c>
      <c r="B256" s="35">
        <v>205.60004007365052</v>
      </c>
      <c r="C256" s="35">
        <v>44.389959926349491</v>
      </c>
    </row>
    <row r="257" spans="1:3">
      <c r="A257" s="35">
        <v>233</v>
      </c>
      <c r="B257" s="35">
        <v>559.38864291129789</v>
      </c>
      <c r="C257" s="35">
        <v>-439.40864291129787</v>
      </c>
    </row>
    <row r="258" spans="1:3">
      <c r="A258" s="35">
        <v>234</v>
      </c>
      <c r="B258" s="35">
        <v>559.38864291129789</v>
      </c>
      <c r="C258" s="35">
        <v>-259.40864291129787</v>
      </c>
    </row>
    <row r="259" spans="1:3">
      <c r="A259" s="35">
        <v>235</v>
      </c>
      <c r="B259" s="35">
        <v>913.17724574894521</v>
      </c>
      <c r="C259" s="35">
        <v>1786.7927542510547</v>
      </c>
    </row>
    <row r="260" spans="1:3">
      <c r="A260" s="35">
        <v>236</v>
      </c>
      <c r="B260" s="35">
        <v>913.17724574894521</v>
      </c>
      <c r="C260" s="35">
        <v>1786.7927542510547</v>
      </c>
    </row>
    <row r="261" spans="1:3">
      <c r="A261" s="35">
        <v>237</v>
      </c>
      <c r="B261" s="35">
        <v>913.17724574894521</v>
      </c>
      <c r="C261" s="35">
        <v>-13.207245748945184</v>
      </c>
    </row>
    <row r="262" spans="1:3">
      <c r="A262" s="35">
        <v>238</v>
      </c>
      <c r="B262" s="35">
        <v>1266.9658485865925</v>
      </c>
      <c r="C262" s="35">
        <v>-667.00584858659249</v>
      </c>
    </row>
    <row r="263" spans="1:3">
      <c r="A263" s="35">
        <v>239</v>
      </c>
      <c r="B263" s="35">
        <v>1266.9658485865925</v>
      </c>
      <c r="C263" s="35">
        <v>-947.00584858659249</v>
      </c>
    </row>
    <row r="264" spans="1:3">
      <c r="A264" s="35">
        <v>240</v>
      </c>
      <c r="B264" s="35">
        <v>1620.75445142424</v>
      </c>
      <c r="C264" s="35">
        <v>-1170.8044514242399</v>
      </c>
    </row>
    <row r="265" spans="1:3">
      <c r="A265" s="35">
        <v>241</v>
      </c>
      <c r="B265" s="35">
        <v>913.17724574894521</v>
      </c>
      <c r="C265" s="35">
        <v>-463.20724574894518</v>
      </c>
    </row>
    <row r="266" spans="1:3">
      <c r="A266" s="35">
        <v>242</v>
      </c>
      <c r="B266" s="35">
        <v>559.38864291129789</v>
      </c>
      <c r="C266" s="35">
        <v>-379.40864291129787</v>
      </c>
    </row>
    <row r="267" spans="1:3">
      <c r="A267" s="35">
        <v>243</v>
      </c>
      <c r="B267" s="35">
        <v>559.38864291129789</v>
      </c>
      <c r="C267" s="35">
        <v>840.59135708870213</v>
      </c>
    </row>
    <row r="268" spans="1:3">
      <c r="A268" s="35">
        <v>244</v>
      </c>
      <c r="B268" s="35">
        <v>913.17724574894521</v>
      </c>
      <c r="C268" s="35">
        <v>1786.7927542510547</v>
      </c>
    </row>
    <row r="269" spans="1:3">
      <c r="A269" s="35">
        <v>245</v>
      </c>
      <c r="B269" s="35">
        <v>913.17724574894521</v>
      </c>
      <c r="C269" s="35">
        <v>-673.20724574894518</v>
      </c>
    </row>
    <row r="270" spans="1:3">
      <c r="A270" s="35">
        <v>246</v>
      </c>
      <c r="B270" s="35">
        <v>205.60004007365052</v>
      </c>
      <c r="C270" s="35">
        <v>-115.61004007365052</v>
      </c>
    </row>
    <row r="271" spans="1:3">
      <c r="A271" s="35">
        <v>247</v>
      </c>
      <c r="B271" s="35">
        <v>913.17724574894521</v>
      </c>
      <c r="C271" s="35">
        <v>1186.7927542510547</v>
      </c>
    </row>
    <row r="272" spans="1:3">
      <c r="A272" s="35">
        <v>248</v>
      </c>
      <c r="B272" s="35">
        <v>559.38864291129789</v>
      </c>
      <c r="C272" s="35">
        <v>-379.40864291129787</v>
      </c>
    </row>
    <row r="273" spans="1:3">
      <c r="A273" s="35">
        <v>249</v>
      </c>
      <c r="B273" s="35">
        <v>913.17724574894521</v>
      </c>
      <c r="C273" s="35">
        <v>-643.20724574894518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09AA-7838-4D15-B149-96B70D7ACB7E}">
  <dimension ref="A1:P34"/>
  <sheetViews>
    <sheetView workbookViewId="0">
      <selection activeCell="E11" sqref="E11"/>
    </sheetView>
  </sheetViews>
  <sheetFormatPr defaultRowHeight="14.4"/>
  <cols>
    <col min="1" max="1" width="12" style="16" customWidth="1"/>
    <col min="2" max="2" width="12.88671875" style="16" customWidth="1"/>
    <col min="3" max="3" width="10.109375" style="16" customWidth="1"/>
    <col min="4" max="4" width="12" style="16" customWidth="1"/>
    <col min="5" max="6" width="10.109375" style="16" customWidth="1"/>
    <col min="7" max="7" width="12" style="16" customWidth="1"/>
    <col min="8" max="9" width="10.109375" style="16" customWidth="1"/>
    <col min="10" max="10" width="11.5546875" style="16" customWidth="1"/>
    <col min="11" max="11" width="8.88671875" style="16"/>
    <col min="12" max="12" width="14.77734375" style="16" customWidth="1"/>
    <col min="13" max="13" width="8.88671875" style="16"/>
    <col min="14" max="14" width="11.77734375" style="16" customWidth="1"/>
    <col min="15" max="15" width="11.6640625" style="16" customWidth="1"/>
    <col min="16" max="16" width="14.109375" style="16" customWidth="1"/>
    <col min="17" max="16384" width="8.88671875" style="16"/>
  </cols>
  <sheetData>
    <row r="1" spans="1:16" ht="23.4">
      <c r="A1" s="17" t="s">
        <v>469</v>
      </c>
      <c r="B1" s="17"/>
      <c r="C1" s="17"/>
      <c r="D1" s="17"/>
      <c r="E1" s="17"/>
      <c r="F1" s="17"/>
      <c r="G1" s="17"/>
      <c r="H1" s="17"/>
      <c r="I1" s="17"/>
      <c r="J1" s="17"/>
    </row>
    <row r="3" spans="1:16" ht="17.399999999999999">
      <c r="A3" s="38" t="s">
        <v>404</v>
      </c>
      <c r="B3" s="16" t="s">
        <v>405</v>
      </c>
      <c r="C3" s="16" t="s">
        <v>406</v>
      </c>
      <c r="D3" s="38" t="s">
        <v>407</v>
      </c>
      <c r="E3" s="16" t="s">
        <v>408</v>
      </c>
      <c r="F3" s="16" t="s">
        <v>409</v>
      </c>
      <c r="G3" s="38" t="s">
        <v>410</v>
      </c>
      <c r="H3" s="16" t="s">
        <v>411</v>
      </c>
      <c r="I3" s="16" t="s">
        <v>412</v>
      </c>
      <c r="L3" s="38" t="s">
        <v>473</v>
      </c>
    </row>
    <row r="4" spans="1:16" ht="18" thickBot="1">
      <c r="A4" s="38" t="s">
        <v>470</v>
      </c>
      <c r="D4" s="38" t="s">
        <v>471</v>
      </c>
      <c r="G4" s="38" t="s">
        <v>472</v>
      </c>
      <c r="L4" s="18" t="s">
        <v>474</v>
      </c>
      <c r="M4" s="18" t="s">
        <v>475</v>
      </c>
      <c r="N4" s="18" t="s">
        <v>476</v>
      </c>
      <c r="O4" s="18" t="s">
        <v>477</v>
      </c>
      <c r="P4" s="18" t="s">
        <v>478</v>
      </c>
    </row>
    <row r="5" spans="1:16">
      <c r="A5" s="16" t="s">
        <v>16</v>
      </c>
      <c r="D5" s="16" t="s">
        <v>109</v>
      </c>
      <c r="G5" s="16" t="str">
        <f>_xlfn._xlws.FILTER(A5:A34,COUNTIF(D5:D34,A5:A34)&gt;0,"No matches")</f>
        <v>Nancy Collins</v>
      </c>
      <c r="L5" s="16" t="s">
        <v>16</v>
      </c>
      <c r="M5" s="16" t="str">
        <f>UPPER(LEFT(L5,1)&amp;LEFT(RIGHT(L5,LEN(L5)-FIND(" ",L5)),1))</f>
        <v>PB</v>
      </c>
      <c r="N5" s="16" t="str">
        <f>LEFT(L5,FIND(" ",L5)-1)</f>
        <v>Paul</v>
      </c>
      <c r="O5" s="16" t="str">
        <f>RIGHT(L5,LEN(L5)-FIND(" ",L5))</f>
        <v>Baker</v>
      </c>
      <c r="P5" s="16">
        <f>LEN(L5)</f>
        <v>10</v>
      </c>
    </row>
    <row r="6" spans="1:16">
      <c r="A6" s="16" t="s">
        <v>25</v>
      </c>
      <c r="D6" s="16" t="s">
        <v>113</v>
      </c>
      <c r="L6" s="16" t="s">
        <v>25</v>
      </c>
      <c r="M6" s="16" t="str">
        <f>UPPER(LEFT(L6,1)&amp;LEFT(RIGHT(L6,LEN(L6)-FIND(" ",L6)),1))</f>
        <v>JJ</v>
      </c>
      <c r="N6" s="16" t="str">
        <f>LEFT(L6,FIND(" ",L6)-1)</f>
        <v>Joseph</v>
      </c>
      <c r="O6" s="16" t="str">
        <f>RIGHT(L6,LEN(L6)-FIND(" ",L6))</f>
        <v>Jackson</v>
      </c>
      <c r="P6" s="16">
        <f>LEN(L6)</f>
        <v>14</v>
      </c>
    </row>
    <row r="7" spans="1:16">
      <c r="A7" s="16" t="s">
        <v>30</v>
      </c>
      <c r="D7" s="16" t="s">
        <v>121</v>
      </c>
      <c r="L7" s="16" t="s">
        <v>30</v>
      </c>
      <c r="M7" s="16" t="str">
        <f>UPPER(LEFT(L7,1)&amp;LEFT(RIGHT(L7,LEN(L7)-FIND(" ",L7)),1))</f>
        <v>KS</v>
      </c>
      <c r="N7" s="16" t="str">
        <f>LEFT(L7,FIND(" ",L7)-1)</f>
        <v>Kevin</v>
      </c>
      <c r="O7" s="16" t="str">
        <f>RIGHT(L7,LEN(L7)-FIND(" ",L7))</f>
        <v>Scott</v>
      </c>
      <c r="P7" s="16">
        <f>LEN(L7)</f>
        <v>11</v>
      </c>
    </row>
    <row r="8" spans="1:16">
      <c r="A8" s="16" t="s">
        <v>39</v>
      </c>
      <c r="D8" s="16" t="s">
        <v>124</v>
      </c>
      <c r="L8" s="16" t="s">
        <v>39</v>
      </c>
      <c r="M8" s="16" t="str">
        <f>UPPER(LEFT(L8,1)&amp;LEFT(RIGHT(L8,LEN(L8)-FIND(" ",L8)),1))</f>
        <v>KB</v>
      </c>
      <c r="N8" s="16" t="str">
        <f>LEFT(L8,FIND(" ",L8)-1)</f>
        <v>Kathleen</v>
      </c>
      <c r="O8" s="16" t="str">
        <f>RIGHT(L8,LEN(L8)-FIND(" ",L8))</f>
        <v>Bennett</v>
      </c>
      <c r="P8" s="16">
        <f>LEN(L8)</f>
        <v>16</v>
      </c>
    </row>
    <row r="9" spans="1:16">
      <c r="A9" s="16" t="s">
        <v>43</v>
      </c>
      <c r="D9" s="16" t="s">
        <v>130</v>
      </c>
      <c r="L9" s="16" t="s">
        <v>43</v>
      </c>
      <c r="M9" s="16" t="str">
        <f>UPPER(LEFT(L9,1)&amp;LEFT(RIGHT(L9,LEN(L9)-FIND(" ",L9)),1))</f>
        <v>MB</v>
      </c>
      <c r="N9" s="16" t="str">
        <f>LEFT(L9,FIND(" ",L9)-1)</f>
        <v>Michael</v>
      </c>
      <c r="O9" s="16" t="str">
        <f>RIGHT(L9,LEN(L9)-FIND(" ",L9))</f>
        <v>Brown</v>
      </c>
      <c r="P9" s="16">
        <f>LEN(L9)</f>
        <v>13</v>
      </c>
    </row>
    <row r="10" spans="1:16">
      <c r="A10" s="16" t="s">
        <v>49</v>
      </c>
      <c r="D10" s="16" t="s">
        <v>133</v>
      </c>
      <c r="L10" s="16" t="s">
        <v>49</v>
      </c>
      <c r="M10" s="16" t="str">
        <f>UPPER(LEFT(L10,1)&amp;LEFT(RIGHT(L10,LEN(L10)-FIND(" ",L10)),1))</f>
        <v>DN</v>
      </c>
      <c r="N10" s="16" t="str">
        <f>LEFT(L10,FIND(" ",L10)-1)</f>
        <v>Dorothy</v>
      </c>
      <c r="O10" s="16" t="str">
        <f>RIGHT(L10,LEN(L10)-FIND(" ",L10))</f>
        <v>Nelson</v>
      </c>
      <c r="P10" s="16">
        <f>LEN(L10)</f>
        <v>14</v>
      </c>
    </row>
    <row r="11" spans="1:16">
      <c r="A11" s="16" t="s">
        <v>56</v>
      </c>
      <c r="D11" s="16" t="s">
        <v>139</v>
      </c>
      <c r="L11" s="16" t="s">
        <v>49</v>
      </c>
      <c r="M11" s="16" t="str">
        <f>UPPER(LEFT(L11,1)&amp;LEFT(RIGHT(L11,LEN(L11)-FIND(" ",L11)),1))</f>
        <v>DN</v>
      </c>
      <c r="N11" s="16" t="str">
        <f>LEFT(L11,FIND(" ",L11)-1)</f>
        <v>Dorothy</v>
      </c>
      <c r="O11" s="16" t="str">
        <f>RIGHT(L11,LEN(L11)-FIND(" ",L11))</f>
        <v>Nelson</v>
      </c>
      <c r="P11" s="16">
        <f>LEN(L11)</f>
        <v>14</v>
      </c>
    </row>
    <row r="12" spans="1:16">
      <c r="A12" s="16" t="s">
        <v>60</v>
      </c>
      <c r="D12" s="16" t="s">
        <v>142</v>
      </c>
      <c r="L12" s="16" t="s">
        <v>56</v>
      </c>
      <c r="M12" s="16" t="str">
        <f>UPPER(LEFT(L12,1)&amp;LEFT(RIGHT(L12,LEN(L12)-FIND(" ",L12)),1))</f>
        <v>CA</v>
      </c>
      <c r="N12" s="16" t="str">
        <f>LEFT(L12,FIND(" ",L12)-1)</f>
        <v>Charles</v>
      </c>
      <c r="O12" s="16" t="str">
        <f>RIGHT(L12,LEN(L12)-FIND(" ",L12))</f>
        <v>Allen</v>
      </c>
      <c r="P12" s="16">
        <f>LEN(L12)</f>
        <v>13</v>
      </c>
    </row>
    <row r="13" spans="1:16">
      <c r="A13" s="16" t="s">
        <v>66</v>
      </c>
      <c r="D13" s="16" t="s">
        <v>145</v>
      </c>
      <c r="L13" s="16" t="s">
        <v>60</v>
      </c>
      <c r="M13" s="16" t="str">
        <f>UPPER(LEFT(L13,1)&amp;LEFT(RIGHT(L13,LEN(L13)-FIND(" ",L13)),1))</f>
        <v>RT</v>
      </c>
      <c r="N13" s="16" t="str">
        <f>LEFT(L13,FIND(" ",L13)-1)</f>
        <v>Robert</v>
      </c>
      <c r="O13" s="16" t="str">
        <f>RIGHT(L13,LEN(L13)-FIND(" ",L13))</f>
        <v>Thomas</v>
      </c>
      <c r="P13" s="16">
        <f>LEN(L13)</f>
        <v>13</v>
      </c>
    </row>
    <row r="14" spans="1:16">
      <c r="A14" s="16" t="s">
        <v>69</v>
      </c>
      <c r="D14" s="16" t="s">
        <v>148</v>
      </c>
      <c r="L14" s="16" t="s">
        <v>66</v>
      </c>
      <c r="M14" s="16" t="str">
        <f>UPPER(LEFT(L14,1)&amp;LEFT(RIGHT(L14,LEN(L14)-FIND(" ",L14)),1))</f>
        <v>KH</v>
      </c>
      <c r="N14" s="16" t="str">
        <f>LEFT(L14,FIND(" ",L14)-1)</f>
        <v>Karen</v>
      </c>
      <c r="O14" s="16" t="str">
        <f>RIGHT(L14,LEN(L14)-FIND(" ",L14))</f>
        <v>Hill</v>
      </c>
      <c r="P14" s="16">
        <f>LEN(L14)</f>
        <v>10</v>
      </c>
    </row>
    <row r="15" spans="1:16">
      <c r="A15" s="16" t="s">
        <v>73</v>
      </c>
      <c r="D15" s="16" t="s">
        <v>151</v>
      </c>
    </row>
    <row r="16" spans="1:16">
      <c r="A16" s="16" t="s">
        <v>76</v>
      </c>
      <c r="D16" s="16" t="s">
        <v>155</v>
      </c>
    </row>
    <row r="17" spans="1:4">
      <c r="A17" s="16" t="s">
        <v>79</v>
      </c>
      <c r="D17" s="16" t="s">
        <v>159</v>
      </c>
    </row>
    <row r="18" spans="1:4">
      <c r="A18" s="16" t="s">
        <v>84</v>
      </c>
      <c r="D18" s="16" t="s">
        <v>163</v>
      </c>
    </row>
    <row r="19" spans="1:4">
      <c r="A19" s="16" t="s">
        <v>87</v>
      </c>
      <c r="D19" s="16" t="s">
        <v>172</v>
      </c>
    </row>
    <row r="20" spans="1:4">
      <c r="A20" s="16" t="s">
        <v>90</v>
      </c>
      <c r="D20" s="16" t="s">
        <v>183</v>
      </c>
    </row>
    <row r="21" spans="1:4">
      <c r="A21" s="16" t="s">
        <v>94</v>
      </c>
      <c r="D21" s="16" t="s">
        <v>186</v>
      </c>
    </row>
    <row r="22" spans="1:4">
      <c r="A22" s="16" t="s">
        <v>97</v>
      </c>
      <c r="D22" s="16" t="s">
        <v>193</v>
      </c>
    </row>
    <row r="23" spans="1:4">
      <c r="A23" s="16" t="s">
        <v>100</v>
      </c>
      <c r="D23" s="16" t="s">
        <v>197</v>
      </c>
    </row>
    <row r="24" spans="1:4">
      <c r="A24" s="16" t="s">
        <v>103</v>
      </c>
      <c r="D24" s="16" t="s">
        <v>212</v>
      </c>
    </row>
    <row r="25" spans="1:4">
      <c r="A25" s="16" t="s">
        <v>109</v>
      </c>
      <c r="D25" s="16" t="s">
        <v>227</v>
      </c>
    </row>
    <row r="26" spans="1:4">
      <c r="A26" s="16" t="s">
        <v>113</v>
      </c>
      <c r="D26" s="16" t="s">
        <v>232</v>
      </c>
    </row>
    <row r="27" spans="1:4">
      <c r="A27" s="16" t="s">
        <v>121</v>
      </c>
      <c r="D27" s="16" t="s">
        <v>235</v>
      </c>
    </row>
    <row r="28" spans="1:4">
      <c r="A28" s="16" t="s">
        <v>124</v>
      </c>
      <c r="D28" s="16" t="s">
        <v>247</v>
      </c>
    </row>
    <row r="29" spans="1:4">
      <c r="A29" s="16" t="s">
        <v>130</v>
      </c>
      <c r="D29" s="16" t="s">
        <v>253</v>
      </c>
    </row>
    <row r="30" spans="1:4">
      <c r="A30" s="16" t="s">
        <v>133</v>
      </c>
      <c r="D30" s="16" t="s">
        <v>260</v>
      </c>
    </row>
    <row r="31" spans="1:4">
      <c r="A31" s="16" t="s">
        <v>139</v>
      </c>
      <c r="D31" s="16" t="s">
        <v>294</v>
      </c>
    </row>
    <row r="32" spans="1:4">
      <c r="A32" s="16" t="s">
        <v>142</v>
      </c>
      <c r="D32" s="16" t="s">
        <v>305</v>
      </c>
    </row>
    <row r="33" spans="1:4">
      <c r="A33" s="16" t="s">
        <v>145</v>
      </c>
      <c r="D33" s="16" t="s">
        <v>326</v>
      </c>
    </row>
    <row r="34" spans="1:4">
      <c r="A34" s="16" t="s">
        <v>148</v>
      </c>
      <c r="D34" s="16" t="s">
        <v>387</v>
      </c>
    </row>
  </sheetData>
  <mergeCells count="1">
    <mergeCell ref="A1:J1"/>
  </mergeCell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0F9E-BFEC-46C9-B408-DA26730F9CDA}">
  <dimension ref="A1"/>
  <sheetViews>
    <sheetView workbookViewId="0">
      <selection activeCell="M21" sqref="M21"/>
    </sheetView>
  </sheetViews>
  <sheetFormatPr defaultRowHeight="14.4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BC90-5BAE-4463-860C-ED4E6152B022}">
  <dimension ref="A1:N4"/>
  <sheetViews>
    <sheetView workbookViewId="0">
      <selection activeCell="P29" sqref="P29"/>
    </sheetView>
  </sheetViews>
  <sheetFormatPr defaultRowHeight="14.4"/>
  <cols>
    <col min="1" max="1" width="12.6640625" customWidth="1"/>
    <col min="2" max="2" width="14.44140625" customWidth="1"/>
    <col min="3" max="3" width="13.21875" customWidth="1"/>
    <col min="5" max="5" width="14.21875" customWidth="1"/>
    <col min="6" max="6" width="12.5546875" customWidth="1"/>
    <col min="8" max="8" width="12.77734375" customWidth="1"/>
    <col min="9" max="9" width="13.21875" customWidth="1"/>
    <col min="10" max="10" width="10.5546875" customWidth="1"/>
    <col min="11" max="11" width="12.44140625" customWidth="1"/>
    <col min="12" max="12" width="14.5546875" customWidth="1"/>
    <col min="14" max="14" width="11.6640625" customWidth="1"/>
  </cols>
  <sheetData>
    <row r="1" spans="1:14" ht="23.4">
      <c r="A1" s="43" t="s">
        <v>484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3" spans="1:14">
      <c r="A3" s="45" t="s">
        <v>485</v>
      </c>
      <c r="B3" s="45"/>
      <c r="C3" s="44"/>
      <c r="D3" s="45" t="s">
        <v>414</v>
      </c>
      <c r="E3" s="45"/>
      <c r="F3" s="44"/>
      <c r="G3" s="45" t="s">
        <v>415</v>
      </c>
      <c r="H3" s="45"/>
      <c r="I3" s="44"/>
      <c r="J3" s="45" t="s">
        <v>486</v>
      </c>
      <c r="K3" s="45"/>
      <c r="L3" s="44"/>
      <c r="M3" s="45" t="s">
        <v>487</v>
      </c>
      <c r="N3" s="45"/>
    </row>
    <row r="4" spans="1:14" ht="21">
      <c r="A4" s="46">
        <f>SUM('[1]raw data'!N2:N251)</f>
        <v>229192.47000000032</v>
      </c>
      <c r="B4" s="46"/>
      <c r="C4" s="44"/>
      <c r="D4" s="46">
        <f>COUNTA('[1]raw data'!A2:A251)</f>
        <v>250</v>
      </c>
      <c r="E4" s="46"/>
      <c r="F4" s="44"/>
      <c r="G4" s="48">
        <f>SUM('[1]raw data'!H2:H251)</f>
        <v>753</v>
      </c>
      <c r="H4" s="48"/>
      <c r="I4" s="44"/>
      <c r="J4" s="46">
        <f>SUM('[1]raw data'!N2:N251)/COUNTA('[1]raw data'!A2:A251)</f>
        <v>916.76988000000131</v>
      </c>
      <c r="K4" s="46"/>
      <c r="L4" s="44"/>
      <c r="M4" s="48" t="str" cm="1">
        <f t="array" ref="M4">INDEX('[1]raw data'!F2:F251,MODE(MATCH('[1]raw data'!F2:F251,'[1]raw data'!F2:F251,0)))</f>
        <v>Bookshelf</v>
      </c>
      <c r="N4" s="48"/>
    </row>
  </sheetData>
  <mergeCells count="11">
    <mergeCell ref="A4:B4"/>
    <mergeCell ref="D4:E4"/>
    <mergeCell ref="G4:H4"/>
    <mergeCell ref="J4:K4"/>
    <mergeCell ref="M4:N4"/>
    <mergeCell ref="A1:N1"/>
    <mergeCell ref="A3:B3"/>
    <mergeCell ref="D3:E3"/>
    <mergeCell ref="G3:H3"/>
    <mergeCell ref="J3:K3"/>
    <mergeCell ref="M3:N3"/>
  </mergeCells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FF75-90F2-4CF0-A4F3-F15275D10AC4}">
  <dimension ref="A1:H8"/>
  <sheetViews>
    <sheetView workbookViewId="0">
      <selection activeCell="B11" sqref="B11"/>
    </sheetView>
  </sheetViews>
  <sheetFormatPr defaultRowHeight="14.4"/>
  <cols>
    <col min="1" max="1" width="29.21875" customWidth="1"/>
  </cols>
  <sheetData>
    <row r="1" spans="1:8" ht="28.8">
      <c r="A1" s="49" t="s">
        <v>489</v>
      </c>
      <c r="B1" s="50"/>
      <c r="C1" s="50"/>
      <c r="D1" s="50"/>
      <c r="E1" s="50"/>
      <c r="F1" s="50"/>
      <c r="G1" s="50"/>
    </row>
    <row r="2" spans="1:8" ht="15.6">
      <c r="A2" s="52" t="s">
        <v>490</v>
      </c>
      <c r="B2" s="51" t="s">
        <v>491</v>
      </c>
      <c r="C2" s="51"/>
      <c r="D2" s="51"/>
      <c r="E2" s="51"/>
      <c r="F2" s="51"/>
      <c r="G2" s="51"/>
      <c r="H2" s="51"/>
    </row>
    <row r="3" spans="1:8" ht="15.6">
      <c r="A3" s="52" t="s">
        <v>492</v>
      </c>
      <c r="B3" s="51" t="s">
        <v>493</v>
      </c>
      <c r="C3" s="51"/>
      <c r="D3" s="51"/>
      <c r="E3" s="51"/>
      <c r="F3" s="51"/>
      <c r="G3" s="51"/>
      <c r="H3" s="51"/>
    </row>
    <row r="4" spans="1:8" ht="15.6">
      <c r="A4" s="52" t="s">
        <v>494</v>
      </c>
      <c r="B4" s="51" t="s">
        <v>495</v>
      </c>
      <c r="C4" s="51"/>
      <c r="D4" s="51"/>
      <c r="E4" s="51"/>
      <c r="F4" s="51"/>
      <c r="G4" s="51"/>
      <c r="H4" s="51"/>
    </row>
    <row r="5" spans="1:8" ht="15.6">
      <c r="A5" s="52" t="s">
        <v>487</v>
      </c>
      <c r="B5" s="51" t="s">
        <v>496</v>
      </c>
      <c r="C5" s="51"/>
      <c r="D5" s="51"/>
      <c r="E5" s="51"/>
      <c r="F5" s="51"/>
      <c r="G5" s="51"/>
      <c r="H5" s="51"/>
    </row>
    <row r="6" spans="1:8" ht="15.6">
      <c r="A6" s="52" t="s">
        <v>497</v>
      </c>
      <c r="B6" s="51" t="s">
        <v>498</v>
      </c>
      <c r="C6" s="51"/>
      <c r="D6" s="51"/>
      <c r="E6" s="51"/>
      <c r="F6" s="51"/>
      <c r="G6" s="51"/>
      <c r="H6" s="51"/>
    </row>
    <row r="7" spans="1:8" ht="15.6">
      <c r="A7" s="52" t="s">
        <v>499</v>
      </c>
      <c r="B7" s="51" t="s">
        <v>500</v>
      </c>
      <c r="C7" s="51"/>
      <c r="D7" s="51"/>
      <c r="E7" s="51"/>
      <c r="F7" s="51"/>
      <c r="G7" s="51"/>
      <c r="H7" s="51"/>
    </row>
    <row r="8" spans="1:8" ht="15.6">
      <c r="A8" s="52" t="s">
        <v>501</v>
      </c>
      <c r="B8" s="51" t="s">
        <v>502</v>
      </c>
      <c r="C8" s="51"/>
      <c r="D8" s="51"/>
      <c r="E8" s="51"/>
      <c r="F8" s="51"/>
      <c r="G8" s="51"/>
      <c r="H8" s="5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08D2-00EF-4ABA-A47E-5D222548ED4C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 data</vt:lpstr>
      <vt:lpstr>Sheet10</vt:lpstr>
      <vt:lpstr>Analysis</vt:lpstr>
      <vt:lpstr>Customer analysis</vt:lpstr>
      <vt:lpstr>pivot table</vt:lpstr>
      <vt:lpstr>What-if analysis</vt:lpstr>
      <vt:lpstr>Regression</vt:lpstr>
      <vt:lpstr>list compare</vt:lpstr>
      <vt:lpstr>Visualization</vt:lpstr>
      <vt:lpstr>Dashboard</vt:lpstr>
      <vt:lpstr>Storytelling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Mali</dc:creator>
  <cp:lastModifiedBy>Rohit Mali</cp:lastModifiedBy>
  <dcterms:created xsi:type="dcterms:W3CDTF">2026-09-15T16:45:01Z</dcterms:created>
  <dcterms:modified xsi:type="dcterms:W3CDTF">2026-09-17T02:48:07Z</dcterms:modified>
</cp:coreProperties>
</file>